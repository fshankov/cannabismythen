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S\Desktop\"/>
    </mc:Choice>
  </mc:AlternateContent>
  <xr:revisionPtr revIDLastSave="0" documentId="13_ncr:1_{6D9D557E-2B90-4E84-8998-A8232B1BF321}" xr6:coauthVersionLast="47" xr6:coauthVersionMax="47" xr10:uidLastSave="{00000000-0000-0000-0000-000000000000}"/>
  <bookViews>
    <workbookView xWindow="3525" yWindow="75" windowWidth="22020" windowHeight="21165" tabRatio="500" xr2:uid="{00000000-000D-0000-FFFF-FFFF00000000}"/>
  </bookViews>
  <sheets>
    <sheet name="Mythen-Dashboard" sheetId="1" r:id="rId1"/>
    <sheet name="Erläuterungen" sheetId="2" r:id="rId2"/>
    <sheet name="Listen" sheetId="3" state="hidden" r:id="rId3"/>
    <sheet name="Daten" sheetId="4" state="hidden" r:id="rId4"/>
    <sheet name="Mythen" sheetId="5" state="hidden" r:id="rId5"/>
    <sheet name="Live" sheetId="6" state="hidden" r:id="rId6"/>
  </sheets>
  <definedNames>
    <definedName name="_xlnm._FilterDatabase" localSheetId="0" hidden="1">'Mythen-Dashboard'!$A$13:$J$13</definedName>
    <definedName name="KategorieListe">Listen!$C$2:$C$10</definedName>
    <definedName name="katFilter">'Mythen-Dashboard'!$C$8</definedName>
    <definedName name="klassFilter">'Mythen-Dashboard'!$C$7</definedName>
    <definedName name="KlassifikationsListe">Listen!$B$2:$B$7</definedName>
    <definedName name="ReihenfolgeListe">Listen!$F$2:$F$3</definedName>
    <definedName name="selectedGroup">'Mythen-Dashboard'!$C$6</definedName>
    <definedName name="sortDir">Listen!$G$3</definedName>
    <definedName name="sortFeld">'Mythen-Dashboard'!$I$6</definedName>
    <definedName name="SortFelderListe">Listen!$D$2:$D$10</definedName>
    <definedName name="sortIdx">Listen!$G$2</definedName>
    <definedName name="sortReihen">'Mythen-Dashboard'!$I$7</definedName>
    <definedName name="sucheText">'Mythen-Dashboard'!$C$9</definedName>
    <definedName name="ZielgruppenListe">Listen!$A$2:$A$6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43" i="6" l="1"/>
  <c r="K43" i="6"/>
  <c r="J43" i="6"/>
  <c r="I43" i="6"/>
  <c r="H43" i="6"/>
  <c r="G43" i="6"/>
  <c r="F43" i="6"/>
  <c r="E43" i="6"/>
  <c r="L42" i="6"/>
  <c r="K42" i="6"/>
  <c r="J42" i="6"/>
  <c r="I42" i="6"/>
  <c r="H42" i="6"/>
  <c r="G42" i="6"/>
  <c r="F42" i="6"/>
  <c r="E42" i="6"/>
  <c r="L41" i="6"/>
  <c r="K41" i="6"/>
  <c r="J41" i="6"/>
  <c r="I41" i="6"/>
  <c r="H41" i="6"/>
  <c r="G41" i="6"/>
  <c r="F41" i="6"/>
  <c r="E41" i="6"/>
  <c r="L40" i="6"/>
  <c r="K40" i="6"/>
  <c r="J40" i="6"/>
  <c r="I40" i="6"/>
  <c r="H40" i="6"/>
  <c r="G40" i="6"/>
  <c r="F40" i="6"/>
  <c r="E40" i="6"/>
  <c r="L39" i="6"/>
  <c r="K39" i="6"/>
  <c r="J39" i="6"/>
  <c r="I39" i="6"/>
  <c r="H39" i="6"/>
  <c r="G39" i="6"/>
  <c r="F39" i="6"/>
  <c r="E39" i="6"/>
  <c r="L38" i="6"/>
  <c r="K38" i="6"/>
  <c r="J38" i="6"/>
  <c r="I38" i="6"/>
  <c r="H38" i="6"/>
  <c r="G38" i="6"/>
  <c r="F38" i="6"/>
  <c r="E38" i="6"/>
  <c r="L37" i="6"/>
  <c r="K37" i="6"/>
  <c r="J37" i="6"/>
  <c r="I37" i="6"/>
  <c r="H37" i="6"/>
  <c r="G37" i="6"/>
  <c r="F37" i="6"/>
  <c r="E37" i="6"/>
  <c r="L36" i="6"/>
  <c r="K36" i="6"/>
  <c r="J36" i="6"/>
  <c r="I36" i="6"/>
  <c r="H36" i="6"/>
  <c r="G36" i="6"/>
  <c r="F36" i="6"/>
  <c r="E36" i="6"/>
  <c r="L35" i="6"/>
  <c r="K35" i="6"/>
  <c r="J35" i="6"/>
  <c r="I35" i="6"/>
  <c r="H35" i="6"/>
  <c r="G35" i="6"/>
  <c r="F35" i="6"/>
  <c r="E35" i="6"/>
  <c r="L34" i="6"/>
  <c r="K34" i="6"/>
  <c r="J34" i="6"/>
  <c r="I34" i="6"/>
  <c r="H34" i="6"/>
  <c r="G34" i="6"/>
  <c r="F34" i="6"/>
  <c r="E34" i="6"/>
  <c r="L33" i="6"/>
  <c r="K33" i="6"/>
  <c r="J33" i="6"/>
  <c r="I33" i="6"/>
  <c r="H33" i="6"/>
  <c r="G33" i="6"/>
  <c r="F33" i="6"/>
  <c r="E33" i="6"/>
  <c r="L32" i="6"/>
  <c r="K32" i="6"/>
  <c r="J32" i="6"/>
  <c r="I32" i="6"/>
  <c r="H32" i="6"/>
  <c r="G32" i="6"/>
  <c r="F32" i="6"/>
  <c r="E32" i="6"/>
  <c r="L31" i="6"/>
  <c r="K31" i="6"/>
  <c r="J31" i="6"/>
  <c r="I31" i="6"/>
  <c r="H31" i="6"/>
  <c r="G31" i="6"/>
  <c r="F31" i="6"/>
  <c r="E31" i="6"/>
  <c r="L30" i="6"/>
  <c r="K30" i="6"/>
  <c r="J30" i="6"/>
  <c r="I30" i="6"/>
  <c r="H30" i="6"/>
  <c r="G30" i="6"/>
  <c r="F30" i="6"/>
  <c r="E30" i="6"/>
  <c r="L29" i="6"/>
  <c r="K29" i="6"/>
  <c r="J29" i="6"/>
  <c r="I29" i="6"/>
  <c r="H29" i="6"/>
  <c r="G29" i="6"/>
  <c r="F29" i="6"/>
  <c r="E29" i="6"/>
  <c r="L28" i="6"/>
  <c r="K28" i="6"/>
  <c r="J28" i="6"/>
  <c r="I28" i="6"/>
  <c r="H28" i="6"/>
  <c r="G28" i="6"/>
  <c r="F28" i="6"/>
  <c r="E28" i="6"/>
  <c r="L27" i="6"/>
  <c r="K27" i="6"/>
  <c r="J27" i="6"/>
  <c r="I27" i="6"/>
  <c r="H27" i="6"/>
  <c r="G27" i="6"/>
  <c r="F27" i="6"/>
  <c r="E27" i="6"/>
  <c r="L26" i="6"/>
  <c r="K26" i="6"/>
  <c r="J26" i="6"/>
  <c r="I26" i="6"/>
  <c r="H26" i="6"/>
  <c r="G26" i="6"/>
  <c r="F26" i="6"/>
  <c r="E26" i="6"/>
  <c r="L25" i="6"/>
  <c r="K25" i="6"/>
  <c r="J25" i="6"/>
  <c r="I25" i="6"/>
  <c r="H25" i="6"/>
  <c r="G25" i="6"/>
  <c r="F25" i="6"/>
  <c r="E25" i="6"/>
  <c r="L24" i="6"/>
  <c r="K24" i="6"/>
  <c r="J24" i="6"/>
  <c r="I24" i="6"/>
  <c r="H24" i="6"/>
  <c r="G24" i="6"/>
  <c r="F24" i="6"/>
  <c r="E24" i="6"/>
  <c r="L23" i="6"/>
  <c r="K23" i="6"/>
  <c r="J23" i="6"/>
  <c r="I23" i="6"/>
  <c r="H23" i="6"/>
  <c r="G23" i="6"/>
  <c r="F23" i="6"/>
  <c r="E23" i="6"/>
  <c r="L22" i="6"/>
  <c r="K22" i="6"/>
  <c r="J22" i="6"/>
  <c r="I22" i="6"/>
  <c r="H22" i="6"/>
  <c r="G22" i="6"/>
  <c r="F22" i="6"/>
  <c r="E22" i="6"/>
  <c r="L21" i="6"/>
  <c r="K21" i="6"/>
  <c r="J21" i="6"/>
  <c r="I21" i="6"/>
  <c r="H21" i="6"/>
  <c r="G21" i="6"/>
  <c r="F21" i="6"/>
  <c r="E21" i="6"/>
  <c r="L20" i="6"/>
  <c r="K20" i="6"/>
  <c r="J20" i="6"/>
  <c r="I20" i="6"/>
  <c r="H20" i="6"/>
  <c r="G20" i="6"/>
  <c r="F20" i="6"/>
  <c r="E20" i="6"/>
  <c r="L19" i="6"/>
  <c r="K19" i="6"/>
  <c r="J19" i="6"/>
  <c r="I19" i="6"/>
  <c r="H19" i="6"/>
  <c r="G19" i="6"/>
  <c r="F19" i="6"/>
  <c r="E19" i="6"/>
  <c r="L18" i="6"/>
  <c r="K18" i="6"/>
  <c r="J18" i="6"/>
  <c r="I18" i="6"/>
  <c r="H18" i="6"/>
  <c r="G18" i="6"/>
  <c r="F18" i="6"/>
  <c r="E18" i="6"/>
  <c r="L17" i="6"/>
  <c r="K17" i="6"/>
  <c r="J17" i="6"/>
  <c r="I17" i="6"/>
  <c r="H17" i="6"/>
  <c r="G17" i="6"/>
  <c r="F17" i="6"/>
  <c r="E17" i="6"/>
  <c r="L16" i="6"/>
  <c r="K16" i="6"/>
  <c r="J16" i="6"/>
  <c r="I16" i="6"/>
  <c r="H16" i="6"/>
  <c r="G16" i="6"/>
  <c r="F16" i="6"/>
  <c r="E16" i="6"/>
  <c r="L15" i="6"/>
  <c r="K15" i="6"/>
  <c r="J15" i="6"/>
  <c r="I15" i="6"/>
  <c r="H15" i="6"/>
  <c r="G15" i="6"/>
  <c r="F15" i="6"/>
  <c r="E15" i="6"/>
  <c r="L14" i="6"/>
  <c r="K14" i="6"/>
  <c r="J14" i="6"/>
  <c r="I14" i="6"/>
  <c r="H14" i="6"/>
  <c r="G14" i="6"/>
  <c r="F14" i="6"/>
  <c r="E14" i="6"/>
  <c r="L13" i="6"/>
  <c r="K13" i="6"/>
  <c r="J13" i="6"/>
  <c r="I13" i="6"/>
  <c r="H13" i="6"/>
  <c r="G13" i="6"/>
  <c r="F13" i="6"/>
  <c r="E13" i="6"/>
  <c r="L12" i="6"/>
  <c r="K12" i="6"/>
  <c r="J12" i="6"/>
  <c r="I12" i="6"/>
  <c r="H12" i="6"/>
  <c r="G12" i="6"/>
  <c r="F12" i="6"/>
  <c r="E12" i="6"/>
  <c r="L11" i="6"/>
  <c r="K11" i="6"/>
  <c r="J11" i="6"/>
  <c r="I11" i="6"/>
  <c r="H11" i="6"/>
  <c r="G11" i="6"/>
  <c r="F11" i="6"/>
  <c r="E11" i="6"/>
  <c r="L10" i="6"/>
  <c r="K10" i="6"/>
  <c r="J10" i="6"/>
  <c r="I10" i="6"/>
  <c r="H10" i="6"/>
  <c r="G10" i="6"/>
  <c r="F10" i="6"/>
  <c r="E10" i="6"/>
  <c r="L9" i="6"/>
  <c r="K9" i="6"/>
  <c r="J9" i="6"/>
  <c r="I9" i="6"/>
  <c r="H9" i="6"/>
  <c r="G9" i="6"/>
  <c r="F9" i="6"/>
  <c r="E9" i="6"/>
  <c r="L8" i="6"/>
  <c r="K8" i="6"/>
  <c r="J8" i="6"/>
  <c r="I8" i="6"/>
  <c r="H8" i="6"/>
  <c r="G8" i="6"/>
  <c r="F8" i="6"/>
  <c r="E8" i="6"/>
  <c r="L7" i="6"/>
  <c r="K7" i="6"/>
  <c r="J7" i="6"/>
  <c r="I7" i="6"/>
  <c r="H7" i="6"/>
  <c r="G7" i="6"/>
  <c r="F7" i="6"/>
  <c r="E7" i="6"/>
  <c r="L6" i="6"/>
  <c r="K6" i="6"/>
  <c r="J6" i="6"/>
  <c r="I6" i="6"/>
  <c r="H6" i="6"/>
  <c r="G6" i="6"/>
  <c r="F6" i="6"/>
  <c r="E6" i="6"/>
  <c r="L5" i="6"/>
  <c r="K5" i="6"/>
  <c r="J5" i="6"/>
  <c r="I5" i="6"/>
  <c r="H5" i="6"/>
  <c r="G5" i="6"/>
  <c r="F5" i="6"/>
  <c r="E5" i="6"/>
  <c r="L4" i="6"/>
  <c r="K4" i="6"/>
  <c r="J4" i="6"/>
  <c r="I4" i="6"/>
  <c r="H4" i="6"/>
  <c r="G4" i="6"/>
  <c r="F4" i="6"/>
  <c r="E4" i="6"/>
  <c r="L3" i="6"/>
  <c r="K3" i="6"/>
  <c r="J3" i="6"/>
  <c r="I3" i="6"/>
  <c r="H3" i="6"/>
  <c r="G3" i="6"/>
  <c r="F3" i="6"/>
  <c r="E3" i="6"/>
  <c r="L2" i="6"/>
  <c r="K2" i="6"/>
  <c r="J2" i="6"/>
  <c r="I2" i="6"/>
  <c r="H2" i="6"/>
  <c r="G2" i="6"/>
  <c r="F2" i="6"/>
  <c r="E2" i="6"/>
  <c r="G3" i="3"/>
  <c r="G2" i="3"/>
  <c r="N43" i="6" s="1"/>
  <c r="O43" i="6" s="1"/>
  <c r="M3" i="6" l="1"/>
  <c r="M7" i="6"/>
  <c r="M11" i="6"/>
  <c r="M15" i="6"/>
  <c r="M19" i="6"/>
  <c r="M23" i="6"/>
  <c r="M27" i="6"/>
  <c r="M31" i="6"/>
  <c r="M35" i="6"/>
  <c r="M39" i="6"/>
  <c r="M41" i="6"/>
  <c r="M5" i="6"/>
  <c r="M9" i="6"/>
  <c r="M13" i="6"/>
  <c r="M17" i="6"/>
  <c r="M21" i="6"/>
  <c r="M25" i="6"/>
  <c r="M29" i="6"/>
  <c r="M33" i="6"/>
  <c r="M37" i="6"/>
  <c r="M43" i="6"/>
  <c r="M4" i="6"/>
  <c r="M8" i="6"/>
  <c r="M10" i="6"/>
  <c r="M12" i="6"/>
  <c r="M14" i="6"/>
  <c r="M16" i="6"/>
  <c r="M18" i="6"/>
  <c r="M20" i="6"/>
  <c r="M22" i="6"/>
  <c r="M24" i="6"/>
  <c r="M26" i="6"/>
  <c r="M28" i="6"/>
  <c r="M30" i="6"/>
  <c r="M32" i="6"/>
  <c r="M34" i="6"/>
  <c r="M36" i="6"/>
  <c r="M38" i="6"/>
  <c r="M40" i="6"/>
  <c r="M42" i="6"/>
  <c r="M2" i="6"/>
  <c r="M6" i="6"/>
  <c r="N2" i="6"/>
  <c r="O2" i="6" s="1"/>
  <c r="N3" i="6"/>
  <c r="O3" i="6" s="1"/>
  <c r="N4" i="6"/>
  <c r="O4" i="6" s="1"/>
  <c r="N5" i="6"/>
  <c r="O5" i="6" s="1"/>
  <c r="N6" i="6"/>
  <c r="O6" i="6" s="1"/>
  <c r="N7" i="6"/>
  <c r="O7" i="6" s="1"/>
  <c r="N8" i="6"/>
  <c r="O8" i="6" s="1"/>
  <c r="N9" i="6"/>
  <c r="O9" i="6" s="1"/>
  <c r="N10" i="6"/>
  <c r="O10" i="6" s="1"/>
  <c r="N11" i="6"/>
  <c r="O11" i="6" s="1"/>
  <c r="N12" i="6"/>
  <c r="O12" i="6" s="1"/>
  <c r="N13" i="6"/>
  <c r="O13" i="6" s="1"/>
  <c r="N14" i="6"/>
  <c r="O14" i="6" s="1"/>
  <c r="N15" i="6"/>
  <c r="O15" i="6" s="1"/>
  <c r="N16" i="6"/>
  <c r="O16" i="6" s="1"/>
  <c r="N17" i="6"/>
  <c r="O17" i="6" s="1"/>
  <c r="N18" i="6"/>
  <c r="O18" i="6" s="1"/>
  <c r="N19" i="6"/>
  <c r="O19" i="6" s="1"/>
  <c r="N20" i="6"/>
  <c r="O20" i="6" s="1"/>
  <c r="N21" i="6"/>
  <c r="O21" i="6" s="1"/>
  <c r="N22" i="6"/>
  <c r="O22" i="6" s="1"/>
  <c r="N23" i="6"/>
  <c r="O23" i="6" s="1"/>
  <c r="N24" i="6"/>
  <c r="O24" i="6" s="1"/>
  <c r="N25" i="6"/>
  <c r="O25" i="6" s="1"/>
  <c r="N26" i="6"/>
  <c r="O26" i="6" s="1"/>
  <c r="N27" i="6"/>
  <c r="O27" i="6" s="1"/>
  <c r="N28" i="6"/>
  <c r="O28" i="6" s="1"/>
  <c r="N29" i="6"/>
  <c r="O29" i="6" s="1"/>
  <c r="N30" i="6"/>
  <c r="O30" i="6" s="1"/>
  <c r="N31" i="6"/>
  <c r="O31" i="6" s="1"/>
  <c r="N32" i="6"/>
  <c r="O32" i="6" s="1"/>
  <c r="N33" i="6"/>
  <c r="O33" i="6" s="1"/>
  <c r="N34" i="6"/>
  <c r="O34" i="6" s="1"/>
  <c r="N35" i="6"/>
  <c r="O35" i="6" s="1"/>
  <c r="N36" i="6"/>
  <c r="O36" i="6" s="1"/>
  <c r="N37" i="6"/>
  <c r="O37" i="6" s="1"/>
  <c r="N38" i="6"/>
  <c r="O38" i="6" s="1"/>
  <c r="N39" i="6"/>
  <c r="O39" i="6" s="1"/>
  <c r="N40" i="6"/>
  <c r="O40" i="6" s="1"/>
  <c r="N41" i="6"/>
  <c r="O41" i="6" s="1"/>
  <c r="N42" i="6"/>
  <c r="O42" i="6" s="1"/>
  <c r="I8" i="1" l="1"/>
  <c r="P38" i="6"/>
  <c r="P37" i="6"/>
  <c r="P21" i="6"/>
  <c r="P36" i="6"/>
  <c r="P30" i="6"/>
  <c r="P34" i="6"/>
  <c r="P27" i="6"/>
  <c r="P42" i="6"/>
  <c r="P41" i="6"/>
  <c r="P9" i="6"/>
  <c r="P25" i="6"/>
  <c r="P40" i="6"/>
  <c r="P39" i="6"/>
  <c r="P6" i="6"/>
  <c r="P5" i="6"/>
  <c r="P4" i="6"/>
  <c r="P35" i="6"/>
  <c r="P10" i="6"/>
  <c r="P18" i="6"/>
  <c r="P11" i="6"/>
  <c r="P16" i="6"/>
  <c r="P17" i="6"/>
  <c r="P32" i="6"/>
  <c r="P14" i="6"/>
  <c r="P29" i="6"/>
  <c r="P28" i="6"/>
  <c r="P12" i="6"/>
  <c r="P20" i="6"/>
  <c r="P8" i="6"/>
  <c r="P15" i="6"/>
  <c r="P33" i="6"/>
  <c r="P7" i="6"/>
  <c r="P22" i="6"/>
  <c r="P19" i="6"/>
  <c r="P3" i="6"/>
  <c r="P43" i="6"/>
  <c r="P31" i="6"/>
  <c r="P26" i="6"/>
  <c r="P23" i="6"/>
  <c r="P13" i="6"/>
  <c r="P24" i="6"/>
  <c r="P2" i="6"/>
  <c r="F30" i="1" l="1"/>
  <c r="F29" i="1"/>
  <c r="I54" i="1"/>
  <c r="G53" i="1"/>
  <c r="E52" i="1"/>
  <c r="C51" i="1"/>
  <c r="A50" i="1"/>
  <c r="J50" i="1" s="1"/>
  <c r="I48" i="1"/>
  <c r="G47" i="1"/>
  <c r="E46" i="1"/>
  <c r="C45" i="1"/>
  <c r="A44" i="1"/>
  <c r="J44" i="1" s="1"/>
  <c r="I42" i="1"/>
  <c r="G41" i="1"/>
  <c r="E40" i="1"/>
  <c r="C39" i="1"/>
  <c r="A38" i="1"/>
  <c r="J38" i="1" s="1"/>
  <c r="I36" i="1"/>
  <c r="G35" i="1"/>
  <c r="E34" i="1"/>
  <c r="C33" i="1"/>
  <c r="A32" i="1"/>
  <c r="J32" i="1" s="1"/>
  <c r="I30" i="1"/>
  <c r="G29" i="1"/>
  <c r="E28" i="1"/>
  <c r="C27" i="1"/>
  <c r="A26" i="1"/>
  <c r="J26" i="1" s="1"/>
  <c r="I24" i="1"/>
  <c r="G23" i="1"/>
  <c r="E22" i="1"/>
  <c r="C21" i="1"/>
  <c r="A20" i="1"/>
  <c r="J20" i="1" s="1"/>
  <c r="I18" i="1"/>
  <c r="G17" i="1"/>
  <c r="E16" i="1"/>
  <c r="C15" i="1"/>
  <c r="A14" i="1"/>
  <c r="J14" i="1" s="1"/>
  <c r="F53" i="1"/>
  <c r="D52" i="1"/>
  <c r="B51" i="1"/>
  <c r="H48" i="1"/>
  <c r="F47" i="1"/>
  <c r="D46" i="1"/>
  <c r="B45" i="1"/>
  <c r="H54" i="1"/>
  <c r="I55" i="1"/>
  <c r="G55" i="1"/>
  <c r="E54" i="1"/>
  <c r="D54" i="1"/>
  <c r="F51" i="1"/>
  <c r="B50" i="1"/>
  <c r="F48" i="1"/>
  <c r="B47" i="1"/>
  <c r="H45" i="1"/>
  <c r="D44" i="1"/>
  <c r="A43" i="1"/>
  <c r="J43" i="1" s="1"/>
  <c r="H41" i="1"/>
  <c r="D40" i="1"/>
  <c r="A39" i="1"/>
  <c r="J39" i="1" s="1"/>
  <c r="H37" i="1"/>
  <c r="E36" i="1"/>
  <c r="B35" i="1"/>
  <c r="I33" i="1"/>
  <c r="F32" i="1"/>
  <c r="C31" i="1"/>
  <c r="G28" i="1"/>
  <c r="D27" i="1"/>
  <c r="G24" i="1"/>
  <c r="D23" i="1"/>
  <c r="A22" i="1"/>
  <c r="J22" i="1" s="1"/>
  <c r="H20" i="1"/>
  <c r="E19" i="1"/>
  <c r="B18" i="1"/>
  <c r="I16" i="1"/>
  <c r="F15" i="1"/>
  <c r="C14" i="1"/>
  <c r="E51" i="1"/>
  <c r="C40" i="1"/>
  <c r="G37" i="1"/>
  <c r="A35" i="1"/>
  <c r="J35" i="1" s="1"/>
  <c r="E32" i="1"/>
  <c r="I29" i="1"/>
  <c r="B27" i="1"/>
  <c r="F24" i="1"/>
  <c r="A18" i="1"/>
  <c r="J18" i="1" s="1"/>
  <c r="E15" i="1"/>
  <c r="A51" i="1"/>
  <c r="J51" i="1" s="1"/>
  <c r="G42" i="1"/>
  <c r="H38" i="1"/>
  <c r="F33" i="1"/>
  <c r="D24" i="1"/>
  <c r="B19" i="1"/>
  <c r="B15" i="1"/>
  <c r="I53" i="1"/>
  <c r="I50" i="1"/>
  <c r="A48" i="1"/>
  <c r="J48" i="1" s="1"/>
  <c r="G46" i="1"/>
  <c r="E42" i="1"/>
  <c r="F38" i="1"/>
  <c r="A28" i="1"/>
  <c r="J28" i="1" s="1"/>
  <c r="B24" i="1"/>
  <c r="C20" i="1"/>
  <c r="C16" i="1"/>
  <c r="C25" i="1"/>
  <c r="H44" i="1"/>
  <c r="D30" i="1"/>
  <c r="E26" i="1"/>
  <c r="I23" i="1"/>
  <c r="F18" i="1"/>
  <c r="C54" i="1"/>
  <c r="I52" i="1"/>
  <c r="I49" i="1"/>
  <c r="E48" i="1"/>
  <c r="A47" i="1"/>
  <c r="J47" i="1" s="1"/>
  <c r="G45" i="1"/>
  <c r="C44" i="1"/>
  <c r="F41" i="1"/>
  <c r="D36" i="1"/>
  <c r="H33" i="1"/>
  <c r="B31" i="1"/>
  <c r="F28" i="1"/>
  <c r="I25" i="1"/>
  <c r="C23" i="1"/>
  <c r="G20" i="1"/>
  <c r="D19" i="1"/>
  <c r="H16" i="1"/>
  <c r="B14" i="1"/>
  <c r="I34" i="1"/>
  <c r="H21" i="1"/>
  <c r="F16" i="1"/>
  <c r="A42" i="1"/>
  <c r="J42" i="1" s="1"/>
  <c r="H55" i="1"/>
  <c r="B54" i="1"/>
  <c r="H52" i="1"/>
  <c r="D51" i="1"/>
  <c r="H49" i="1"/>
  <c r="D48" i="1"/>
  <c r="F45" i="1"/>
  <c r="B44" i="1"/>
  <c r="H42" i="1"/>
  <c r="E41" i="1"/>
  <c r="B40" i="1"/>
  <c r="I38" i="1"/>
  <c r="F37" i="1"/>
  <c r="C36" i="1"/>
  <c r="G33" i="1"/>
  <c r="D32" i="1"/>
  <c r="A31" i="1"/>
  <c r="J31" i="1" s="1"/>
  <c r="H29" i="1"/>
  <c r="D28" i="1"/>
  <c r="A27" i="1"/>
  <c r="J27" i="1" s="1"/>
  <c r="H25" i="1"/>
  <c r="E24" i="1"/>
  <c r="B23" i="1"/>
  <c r="I21" i="1"/>
  <c r="F20" i="1"/>
  <c r="C19" i="1"/>
  <c r="G16" i="1"/>
  <c r="D15" i="1"/>
  <c r="F55" i="1"/>
  <c r="G52" i="1"/>
  <c r="G49" i="1"/>
  <c r="C48" i="1"/>
  <c r="I46" i="1"/>
  <c r="E45" i="1"/>
  <c r="A40" i="1"/>
  <c r="J40" i="1" s="1"/>
  <c r="B36" i="1"/>
  <c r="C32" i="1"/>
  <c r="C28" i="1"/>
  <c r="A23" i="1"/>
  <c r="J23" i="1" s="1"/>
  <c r="I17" i="1"/>
  <c r="C52" i="1"/>
  <c r="H43" i="1"/>
  <c r="I39" i="1"/>
  <c r="G34" i="1"/>
  <c r="D29" i="1"/>
  <c r="E25" i="1"/>
  <c r="F21" i="1"/>
  <c r="F17" i="1"/>
  <c r="E53" i="1"/>
  <c r="C49" i="1"/>
  <c r="C46" i="1"/>
  <c r="F43" i="1"/>
  <c r="D38" i="1"/>
  <c r="H35" i="1"/>
  <c r="A33" i="1"/>
  <c r="J33" i="1" s="1"/>
  <c r="B29" i="1"/>
  <c r="F26" i="1"/>
  <c r="G22" i="1"/>
  <c r="G18" i="1"/>
  <c r="A16" i="1"/>
  <c r="J16" i="1" s="1"/>
  <c r="D43" i="1"/>
  <c r="I32" i="1"/>
  <c r="A54" i="1"/>
  <c r="J54" i="1" s="1"/>
  <c r="D41" i="1"/>
  <c r="E37" i="1"/>
  <c r="G25" i="1"/>
  <c r="E20" i="1"/>
  <c r="D55" i="1"/>
  <c r="E49" i="1"/>
  <c r="A45" i="1"/>
  <c r="J45" i="1" s="1"/>
  <c r="B41" i="1"/>
  <c r="C37" i="1"/>
  <c r="D33" i="1"/>
  <c r="G30" i="1"/>
  <c r="H26" i="1"/>
  <c r="I22" i="1"/>
  <c r="F39" i="1"/>
  <c r="H27" i="1"/>
  <c r="F22" i="1"/>
  <c r="C17" i="1"/>
  <c r="I51" i="1"/>
  <c r="E50" i="1"/>
  <c r="E47" i="1"/>
  <c r="G44" i="1"/>
  <c r="E39" i="1"/>
  <c r="B38" i="1"/>
  <c r="E35" i="1"/>
  <c r="F31" i="1"/>
  <c r="E55" i="1"/>
  <c r="F52" i="1"/>
  <c r="F49" i="1"/>
  <c r="B48" i="1"/>
  <c r="H46" i="1"/>
  <c r="D45" i="1"/>
  <c r="I43" i="1"/>
  <c r="F42" i="1"/>
  <c r="C41" i="1"/>
  <c r="G38" i="1"/>
  <c r="D37" i="1"/>
  <c r="A36" i="1"/>
  <c r="J36" i="1" s="1"/>
  <c r="H34" i="1"/>
  <c r="E33" i="1"/>
  <c r="B32" i="1"/>
  <c r="H30" i="1"/>
  <c r="E29" i="1"/>
  <c r="B28" i="1"/>
  <c r="I26" i="1"/>
  <c r="F25" i="1"/>
  <c r="C24" i="1"/>
  <c r="G21" i="1"/>
  <c r="D20" i="1"/>
  <c r="A19" i="1"/>
  <c r="J19" i="1" s="1"/>
  <c r="H17" i="1"/>
  <c r="D16" i="1"/>
  <c r="A15" i="1"/>
  <c r="J15" i="1" s="1"/>
  <c r="F35" i="1"/>
  <c r="B21" i="1"/>
  <c r="G14" i="1"/>
  <c r="C55" i="1"/>
  <c r="H53" i="1"/>
  <c r="B52" i="1"/>
  <c r="H50" i="1"/>
  <c r="D49" i="1"/>
  <c r="F46" i="1"/>
  <c r="G43" i="1"/>
  <c r="D42" i="1"/>
  <c r="A41" i="1"/>
  <c r="J41" i="1" s="1"/>
  <c r="H39" i="1"/>
  <c r="E38" i="1"/>
  <c r="B37" i="1"/>
  <c r="I35" i="1"/>
  <c r="F34" i="1"/>
  <c r="B33" i="1"/>
  <c r="I31" i="1"/>
  <c r="C29" i="1"/>
  <c r="G26" i="1"/>
  <c r="D25" i="1"/>
  <c r="A24" i="1"/>
  <c r="J24" i="1" s="1"/>
  <c r="H22" i="1"/>
  <c r="E21" i="1"/>
  <c r="B20" i="1"/>
  <c r="H18" i="1"/>
  <c r="E17" i="1"/>
  <c r="B16" i="1"/>
  <c r="I14" i="1"/>
  <c r="B55" i="1"/>
  <c r="A52" i="1"/>
  <c r="J52" i="1" s="1"/>
  <c r="G50" i="1"/>
  <c r="I47" i="1"/>
  <c r="I44" i="1"/>
  <c r="C42" i="1"/>
  <c r="G39" i="1"/>
  <c r="A37" i="1"/>
  <c r="J37" i="1" s="1"/>
  <c r="D34" i="1"/>
  <c r="H31" i="1"/>
  <c r="E30" i="1"/>
  <c r="I27" i="1"/>
  <c r="D21" i="1"/>
  <c r="D17" i="1"/>
  <c r="H14" i="1"/>
  <c r="A55" i="1"/>
  <c r="J55" i="1" s="1"/>
  <c r="D53" i="1"/>
  <c r="F50" i="1"/>
  <c r="B49" i="1"/>
  <c r="H47" i="1"/>
  <c r="B46" i="1"/>
  <c r="E43" i="1"/>
  <c r="B42" i="1"/>
  <c r="I40" i="1"/>
  <c r="C38" i="1"/>
  <c r="C34" i="1"/>
  <c r="G31" i="1"/>
  <c r="A29" i="1"/>
  <c r="J29" i="1" s="1"/>
  <c r="B25" i="1"/>
  <c r="I19" i="1"/>
  <c r="C53" i="1"/>
  <c r="A49" i="1"/>
  <c r="J49" i="1" s="1"/>
  <c r="A46" i="1"/>
  <c r="J46" i="1" s="1"/>
  <c r="H40" i="1"/>
  <c r="H36" i="1"/>
  <c r="B34" i="1"/>
  <c r="D47" i="1"/>
  <c r="D39" i="1"/>
  <c r="E31" i="1"/>
  <c r="C26" i="1"/>
  <c r="H15" i="1"/>
  <c r="F14" i="1"/>
  <c r="F44" i="1"/>
  <c r="H24" i="1"/>
  <c r="D35" i="1"/>
  <c r="B43" i="1"/>
  <c r="C18" i="1"/>
  <c r="G27" i="1"/>
  <c r="C22" i="1"/>
  <c r="C47" i="1"/>
  <c r="B39" i="1"/>
  <c r="D31" i="1"/>
  <c r="B26" i="1"/>
  <c r="I20" i="1"/>
  <c r="G15" i="1"/>
  <c r="A25" i="1"/>
  <c r="J25" i="1" s="1"/>
  <c r="G19" i="1"/>
  <c r="A30" i="1"/>
  <c r="J30" i="1" s="1"/>
  <c r="F19" i="1"/>
  <c r="A53" i="1"/>
  <c r="J53" i="1" s="1"/>
  <c r="H23" i="1"/>
  <c r="I28" i="1"/>
  <c r="H28" i="1"/>
  <c r="D22" i="1"/>
  <c r="A17" i="1"/>
  <c r="J17" i="1" s="1"/>
  <c r="H32" i="1"/>
  <c r="G54" i="1"/>
  <c r="C30" i="1"/>
  <c r="H19" i="1"/>
  <c r="G36" i="1"/>
  <c r="D14" i="1"/>
  <c r="C43" i="1"/>
  <c r="F23" i="1"/>
  <c r="C35" i="1"/>
  <c r="D50" i="1"/>
  <c r="F27" i="1"/>
  <c r="G40" i="1"/>
  <c r="E27" i="1"/>
  <c r="B22" i="1"/>
  <c r="G48" i="1"/>
  <c r="G32" i="1"/>
  <c r="A21" i="1"/>
  <c r="J21" i="1" s="1"/>
  <c r="F54" i="1"/>
  <c r="I45" i="1"/>
  <c r="I37" i="1"/>
  <c r="B30" i="1"/>
  <c r="E14" i="1"/>
  <c r="B53" i="1"/>
  <c r="E44" i="1"/>
  <c r="E18" i="1"/>
  <c r="H51" i="1"/>
  <c r="D18" i="1"/>
  <c r="E23" i="1"/>
  <c r="B17" i="1"/>
  <c r="F36" i="1"/>
  <c r="D26" i="1"/>
  <c r="G51" i="1"/>
  <c r="A34" i="1"/>
  <c r="J34" i="1" s="1"/>
  <c r="C50" i="1"/>
  <c r="I41" i="1"/>
  <c r="F40" i="1"/>
  <c r="I15" i="1"/>
</calcChain>
</file>

<file path=xl/sharedStrings.xml><?xml version="1.0" encoding="utf-8"?>
<sst xmlns="http://schemas.openxmlformats.org/spreadsheetml/2006/main" count="888" uniqueCount="222">
  <si>
    <t>Cannabis: Mythen &amp; Evidenz — Daten-Explorer für Präventionsfachkräfte</t>
  </si>
  <si>
    <t>Datengrundlage: drei Befragungspanels — Volljährige (18–70, n=2.079) und Minderjährige (16–17, n=555), beide gewichtet, sowie Konsumierende (n=143, Anbauvereinigungen, ungewichtet). CaRM, ISD Hamburg, Sommer 2025.</t>
  </si>
  <si>
    <t>⚠ WICHTIG — Keine Nachrechnung möglich: Die Werte sind methodisch standardisiert (0–100 Punkte) und für Volljährige/Minderjährige gewichtet. Eine eigenständige Nachrechnung anhand dieser Zahlen ist nicht möglich, da zu viele Zwischenschritte fehlen. Vollständige Erläuterungen → Tab „Erläuterungen“.</t>
  </si>
  <si>
    <t>FILTER UND SUCHE</t>
  </si>
  <si>
    <t>SORTIEREN UND ÜBERBLICK</t>
  </si>
  <si>
    <t>Zielgruppe</t>
  </si>
  <si>
    <t>Erwachsene (18–70)</t>
  </si>
  <si>
    <t>Sortieren nach</t>
  </si>
  <si>
    <t>Mythos-Nr.</t>
  </si>
  <si>
    <t>Klassifikation</t>
  </si>
  <si>
    <t>Alle</t>
  </si>
  <si>
    <t>Reihenfolge</t>
  </si>
  <si>
    <t>Aufsteigend</t>
  </si>
  <si>
    <t>Kategorie</t>
  </si>
  <si>
    <t>Treffer</t>
  </si>
  <si>
    <t>Kürzeste Lesehilfe: Klassifikation farbcodiert (grün = richtig → rot = falsch). Kenntnis = % der Zielgruppe; übrige Spalten = standardisierte Punkte 0–100 (höher = stärker). Vollständige Erläuterungen → Tab „Erläuterungen“.</t>
  </si>
  <si>
    <t>Nr.</t>
  </si>
  <si>
    <t>Mythos</t>
  </si>
  <si>
    <t>Kenntnis %</t>
  </si>
  <si>
    <t>Bedeutung</t>
  </si>
  <si>
    <t>Richtigkeit</t>
  </si>
  <si>
    <t>Präv.-Bedeutung</t>
  </si>
  <si>
    <t>Bevölk.-Relevanz</t>
  </si>
  <si>
    <t>Faktenkarte</t>
  </si>
  <si>
    <t>Erläuterungen — Begriffe und Lesehinweise zum Daten-Explorer</t>
  </si>
  <si>
    <t>Worum geht es?</t>
  </si>
  <si>
    <t>Diese Datei zeigt die Ergebnisse des Forschungsprojekts CaRM (Cannabis – Risiken und Mythen, ISD Hamburg) zu 42 Mythen rund um Cannabis. Sie ist als Arbeitshilfe für Präventionsfachkräfte, Lehrkräfte und andere Multiplikator:innen gedacht. Über die Filter und die Sortierung lassen sich die Mythen schnell nach Themen, Klassifikation, Zielgruppe oder Indikatoren erschließen.</t>
  </si>
  <si>
    <t>Wichtig — keine Nachrechnung</t>
  </si>
  <si>
    <t>Die ausgewiesenen Werte sind das Ergebnis umfangreicher methodischer Transformationen: Standardisierung in den Wertebereich 0–100 (Punkte), Gewichtung für die Bevölkerungsgruppen Volljährige und Minderjährige. Eine eigenständige Nachrechnung anhand der hier gezeigten Zahlen ist nicht möglich, weil zu viele Zwischenschritte fehlen.</t>
  </si>
  <si>
    <t>Wissenschaftliche Klassifikation</t>
  </si>
  <si>
    <t>Vier Stufen plus 'Keine Aussage möglich': Richtig · Eher richtig · Eher falsch · Falsch. Basis: internationale Literatur bis September 2025. Für zwei Mythen (m12 Entzündungen, m17 Abnehmen) reicht die Evidenz für eine Einordnung nicht aus — sie tragen den Wert 'Keine Aussage möglich'.</t>
  </si>
  <si>
    <t>Datengrundlage</t>
  </si>
  <si>
    <t>Drei Erhebungspanels, Sommer 2025: 2.079 Volljährige (18–70, gewichtet), 555 Minderjährige (16–17, gewichtet), 143 aktuell Konsumierende über Anbauvereinigungen (ungewichtet). Quelle: ISD Hamburg, Forschungsprojekt CaRM.</t>
  </si>
  <si>
    <t>Mit dem Dropdown 'Zielgruppe' wechseln alle Indikator-Spalten zwischen den fünf Befragungsgruppen: Volljährige, Minderjährige, aktuell Konsumierende, Junge Erwachsene (18–26) und Eltern minderjähriger Kinder.</t>
  </si>
  <si>
    <t>Kenntnis Mythos (in %)</t>
  </si>
  <si>
    <t>Anteil der Befragten in der gewählten Zielgruppe, der den Mythos kennt. Den Befragten wurden die 42 Mythen vorgelegt; sie haben die ausgewählt, die sie schon einmal gehört oder gelesen haben.</t>
  </si>
  <si>
    <t>Wie wichtig ist der Mythos den Befragten für ihren eigenen Umgang mit Cannabis? Beurteilung auf einer vierstufigen Skala 'sehr wichtig' bis 'unwichtig', transformiert auf 0–100 Punkte (höher = bedeutsamer). Werte gelten jeweils nur für die Befragten, die den Mythos kennen.</t>
  </si>
  <si>
    <t>Richtigkeit der Beurteilung (Punkte 0–100)</t>
  </si>
  <si>
    <t>Präventionsbedeutung (Punkte 0–100)</t>
  </si>
  <si>
    <t>Setzung des Projektteams: Bedeutsamkeit × invers(Richtigkeit). Ein hoher Wert bedeutet, der Mythos ist den Befragten wichtig UND wird falsch beurteilt — also präventionsrelevant. Zwei Faktoren multipliziert, anschließend auf 0–100 transformiert.</t>
  </si>
  <si>
    <t>Bevölkerungsrelevanz (Punkte 0–100)</t>
  </si>
  <si>
    <t>Nur für die Bevölkerungsgruppen Volljährige und Minderjährige ausgewiesen. Präventionsbedeutung × Kenntnisanteil — also: hoher Wert = bei vielen Menschen präventionsrelevant. Bei den Subzielgruppen (Konsumierende, Junge Erwachsene, Eltern) bleibt die Spalte leer; das entspricht der Auswertungslogik im CaRM-Projekt.</t>
  </si>
  <si>
    <t>Filter und Sortierung</t>
  </si>
  <si>
    <t>Filter (Zielgruppe, Klassifikation, Kategorie, Suche im Mythos-Text) und die beiden Sortierregler oben kombinieren sich. Das Feld 'Treffer' zeigt, wie viele der 42 Mythen aktuell sichtbar sind. 'Suche' ist eine Teilwort-Suche, Groß- und Kleinschreibung werden ignoriert.</t>
  </si>
  <si>
    <t>Faktenkarten (Hyperlinks)</t>
  </si>
  <si>
    <t>Jede Zeile endet mit einem Link 'Faktenkarte öffnen ↗' zur ausführlichen Faktenkarte des Mythos auf der CaRM-Website (cannabismythen.netlify.app/daten-explorer/...). Dort finden sich die ausführliche Begründung der Klassifikation und Quellen.</t>
  </si>
  <si>
    <t>Die Stichproben beziehen sich auf Erwachsene 18–70 und Minderjährige 16–17 in einer Bevölkerungsbefragung in Deutschland — nicht auf 'die Bevölkerung' im Sinne der gesamten 80 Mio. Menschen. Bitte diese Lesart bei der Weiterverwendung beibehalten.</t>
  </si>
  <si>
    <t>Zielgruppen</t>
  </si>
  <si>
    <t>Klassifikationen</t>
  </si>
  <si>
    <t>Kategorien</t>
  </si>
  <si>
    <t>Sortierfeld</t>
  </si>
  <si>
    <t>SpaltenIndex</t>
  </si>
  <si>
    <t>Berechnet</t>
  </si>
  <si>
    <t>Richtig</t>
  </si>
  <si>
    <t>Minderjährige (16–17)</t>
  </si>
  <si>
    <t>Medizinischer und therapeutischer Nutzen</t>
  </si>
  <si>
    <t>Absteigend</t>
  </si>
  <si>
    <t>Eher richtig</t>
  </si>
  <si>
    <t>Konsumierende (letzte 30 Tage)</t>
  </si>
  <si>
    <t>Allgemeine Einschätzung der Gefährlichkeit</t>
  </si>
  <si>
    <t>Eher falsch</t>
  </si>
  <si>
    <t>Junge Erwachsene (18–26)</t>
  </si>
  <si>
    <t>Risiken durch Dosierung und Qualität</t>
  </si>
  <si>
    <t>Falsch</t>
  </si>
  <si>
    <t>Eltern minderjähriger Kinder</t>
  </si>
  <si>
    <t>Risiken für den Körper und die Entwicklung</t>
  </si>
  <si>
    <t>Keine Aussage möglich</t>
  </si>
  <si>
    <t>Risiken für die psychische Gesundheit</t>
  </si>
  <si>
    <t>Einfluss auf Stimmung und Wahrnehmung</t>
  </si>
  <si>
    <t>Soziale Auswirkungen und Leistungsfähigkeit</t>
  </si>
  <si>
    <t>Verbreitung in der Bevölkerung und Gesetzgebung</t>
  </si>
  <si>
    <t>Daten-Lookup: Mythos × Zielgruppe × Indikatoren (Quelle: carm-data.json)</t>
  </si>
  <si>
    <t>myth_id</t>
  </si>
  <si>
    <t>group_id</t>
  </si>
  <si>
    <t>Bedeutung Pkt.</t>
  </si>
  <si>
    <t>Richtigkeit Pkt.</t>
  </si>
  <si>
    <t>Präventionsbedeutung Pkt.</t>
  </si>
  <si>
    <t>Bevölkerungsrelevanz Pkt.</t>
  </si>
  <si>
    <t>adults</t>
  </si>
  <si>
    <t>minors</t>
  </si>
  <si>
    <t>consumers</t>
  </si>
  <si>
    <t>young_adults</t>
  </si>
  <si>
    <t>parents</t>
  </si>
  <si>
    <t>Mythen-Stammdaten — 42 Einträge (final, Christian 2026-05) inkl. URL</t>
  </si>
  <si>
    <t>Slug</t>
  </si>
  <si>
    <t>URL</t>
  </si>
  <si>
    <t>Cannabis ist ein Allheilmittel.</t>
  </si>
  <si>
    <t>m01-allheilmittel</t>
  </si>
  <si>
    <t>https://cannabismythen.netlify.app/daten-explorer/m01-allheilmittel/</t>
  </si>
  <si>
    <t>Cannabiskonsum ist harmlos.</t>
  </si>
  <si>
    <t>m02-harmlos</t>
  </si>
  <si>
    <t>https://cannabismythen.netlify.app/daten-explorer/m02-harmlos/</t>
  </si>
  <si>
    <t>Cannabiskonsum durch Heranwachsende führt in stärkerem Maße als bei Erwachsenen zu gesundheitlichen Schäden.</t>
  </si>
  <si>
    <t>m03-heranwachsende</t>
  </si>
  <si>
    <t>https://cannabismythen.netlify.app/daten-explorer/m03-heranwachsende/</t>
  </si>
  <si>
    <t>Cannabis ist weniger schädlich als Alkohol.</t>
  </si>
  <si>
    <t>m04-weniger-schaedlich-alkohol</t>
  </si>
  <si>
    <t>https://cannabismythen.netlify.app/daten-explorer/m04-weniger-schaedlich-alkohol/</t>
  </si>
  <si>
    <t>Cannabis ist schwierig zu dosieren.</t>
  </si>
  <si>
    <t>m05-schwierig-dosieren</t>
  </si>
  <si>
    <t>https://cannabismythen.netlify.app/daten-explorer/m05-schwierig-dosieren/</t>
  </si>
  <si>
    <t>Mischkonsum von Cannabis mit anderen Substanzen ist besonders risikoreich.</t>
  </si>
  <si>
    <t>m06-mischkonsum</t>
  </si>
  <si>
    <t>https://cannabismythen.netlify.app/daten-explorer/m06-mischkonsum/</t>
  </si>
  <si>
    <t>Zusätze im Cannabis führen zu erhöhten Gesundheitsrisiken.</t>
  </si>
  <si>
    <t>m07-zusaetze</t>
  </si>
  <si>
    <t>https://cannabismythen.netlify.app/daten-explorer/m07-zusaetze/</t>
  </si>
  <si>
    <t>Cannabiskonsum schädigt den Fötus.</t>
  </si>
  <si>
    <t>m08-foetus</t>
  </si>
  <si>
    <t>https://cannabismythen.netlify.app/daten-explorer/m08-foetus/</t>
  </si>
  <si>
    <t>Eine Überdosierung von Cannabis führt nicht zum Tod.</t>
  </si>
  <si>
    <t>m09-ueberdosierung</t>
  </si>
  <si>
    <t>https://cannabismythen.netlify.app/daten-explorer/m09-ueberdosierung/</t>
  </si>
  <si>
    <t>Cannabis wirkt gegen Schmerzen.</t>
  </si>
  <si>
    <t>m10-schmerzen</t>
  </si>
  <si>
    <t>https://cannabismythen.netlify.app/daten-explorer/m10-schmerzen/</t>
  </si>
  <si>
    <t>Cannabiskonsum bewirkt Übelkeit und Erbrechen.</t>
  </si>
  <si>
    <t>m11-uebelkeit</t>
  </si>
  <si>
    <t>https://cannabismythen.netlify.app/daten-explorer/m11-uebelkeit/</t>
  </si>
  <si>
    <t>Cannabis hemmt Entzündungen.</t>
  </si>
  <si>
    <t>m12-entzuendungen</t>
  </si>
  <si>
    <t>https://cannabismythen.netlify.app/daten-explorer/m12-entzuendungen/</t>
  </si>
  <si>
    <t>Cannabiskonsum löst Spasmen.</t>
  </si>
  <si>
    <t>m13-spastiken</t>
  </si>
  <si>
    <t>https://cannabismythen.netlify.app/daten-explorer/m13-spastiken/</t>
  </si>
  <si>
    <t>Cannabiskonsum verursacht Herz-Kreislauferkrankungen.</t>
  </si>
  <si>
    <t>m14-herz-kreislauf</t>
  </si>
  <si>
    <t>https://cannabismythen.netlify.app/daten-explorer/m14-herz-kreislauf/</t>
  </si>
  <si>
    <t>Inhalativer Cannabiskonsum bewirkt Atemwegserkrankungen.</t>
  </si>
  <si>
    <t>m15-atemwege</t>
  </si>
  <si>
    <t>https://cannabismythen.netlify.app/daten-explorer/m15-atemwege/</t>
  </si>
  <si>
    <t>Cannabiskonsum verursacht Krebserkrankungen.</t>
  </si>
  <si>
    <t>m16-krebs</t>
  </si>
  <si>
    <t>https://cannabismythen.netlify.app/daten-explorer/m16-krebs/</t>
  </si>
  <si>
    <t>Cannabiskonsum hilft beim Abnehmen.</t>
  </si>
  <si>
    <t>m17-abnehmen</t>
  </si>
  <si>
    <t>https://cannabismythen.netlify.app/daten-explorer/m17-abnehmen/</t>
  </si>
  <si>
    <t>Cannabiskonsum hilft bei Schlafproblemen.</t>
  </si>
  <si>
    <t>m18-schlaf</t>
  </si>
  <si>
    <t>https://cannabismythen.netlify.app/daten-explorer/m18-schlaf/</t>
  </si>
  <si>
    <t>Cannabiskonsum verändert die Wahrnehmungen.</t>
  </si>
  <si>
    <t>m19-wahrnehmung</t>
  </si>
  <si>
    <t>https://cannabismythen.netlify.app/daten-explorer/m19-wahrnehmung/</t>
  </si>
  <si>
    <t>Cannabiskonsum beeinträchtigt kognitive Fähigkeiten.</t>
  </si>
  <si>
    <t>m20-kognition</t>
  </si>
  <si>
    <t>https://cannabismythen.netlify.app/daten-explorer/m20-kognition/</t>
  </si>
  <si>
    <t>Cannabiskonsum gefährdet die Verkehrssicherheit.</t>
  </si>
  <si>
    <t>m21-verkehr</t>
  </si>
  <si>
    <t>https://cannabismythen.netlify.app/daten-explorer/m21-verkehr/</t>
  </si>
  <si>
    <t>Cannabis ist eine Einstiegsdroge.</t>
  </si>
  <si>
    <t>m22-einstiegsdroge</t>
  </si>
  <si>
    <t>https://cannabismythen.netlify.app/daten-explorer/m22-einstiegsdroge/</t>
  </si>
  <si>
    <t>Cannabis verursacht keine Abhängigkeit.</t>
  </si>
  <si>
    <t>m23-abhaengigkeit</t>
  </si>
  <si>
    <t>https://cannabismythen.netlify.app/daten-explorer/m23-abhaengigkeit/</t>
  </si>
  <si>
    <t>Cannabiskonsum verursacht Psychosen.</t>
  </si>
  <si>
    <t>m24-psychosen</t>
  </si>
  <si>
    <t>https://cannabismythen.netlify.app/daten-explorer/m24-psychosen/</t>
  </si>
  <si>
    <t>Cannabiskonsum wirkt gegen Angst.</t>
  </si>
  <si>
    <t>m25-angst</t>
  </si>
  <si>
    <t>https://cannabismythen.netlify.app/daten-explorer/m25-angst/</t>
  </si>
  <si>
    <t>Cannabiskonsum wirkt gegen Depressionen.</t>
  </si>
  <si>
    <t>m26-depressionen</t>
  </si>
  <si>
    <t>https://cannabismythen.netlify.app/daten-explorer/m26-depressionen/</t>
  </si>
  <si>
    <t>Cannabiskonsum wirkt gegen ADHS.</t>
  </si>
  <si>
    <t>m27-adhs</t>
  </si>
  <si>
    <t>https://cannabismythen.netlify.app/daten-explorer/m27-adhs/</t>
  </si>
  <si>
    <t>Cannabiskonsum verursacht einen generellen Motivationsverlust.</t>
  </si>
  <si>
    <t>m28-motivation</t>
  </si>
  <si>
    <t>https://cannabismythen.netlify.app/daten-explorer/m28-motivation/</t>
  </si>
  <si>
    <t>Cannabiskonsum verbessert die Gemütslage.</t>
  </si>
  <si>
    <t>m29-gemuetslage</t>
  </si>
  <si>
    <t>https://cannabismythen.netlify.app/daten-explorer/m29-gemuetslage/</t>
  </si>
  <si>
    <t>Cannabiskonsum führt zu Suizidgedanken.</t>
  </si>
  <si>
    <t>m30-suizid</t>
  </si>
  <si>
    <t>https://cannabismythen.netlify.app/daten-explorer/m30-suizid/</t>
  </si>
  <si>
    <t>Cannabiskonsum entspannt.</t>
  </si>
  <si>
    <t>m31-m32-entspannt-aggressiv</t>
  </si>
  <si>
    <t>https://cannabismythen.netlify.app/daten-explorer/m31-m32-entspannt-aggressiv/</t>
  </si>
  <si>
    <t>Cannabiskonsum macht nicht aggressiv.</t>
  </si>
  <si>
    <t>Cannabiskonsum macht kreativ.</t>
  </si>
  <si>
    <t>m33-kreativ</t>
  </si>
  <si>
    <t>https://cannabismythen.netlify.app/daten-explorer/m33-kreativ/</t>
  </si>
  <si>
    <t>Cannabiskonsum schädigt soziale Beziehungen.</t>
  </si>
  <si>
    <t>m34-soziale-beziehungen</t>
  </si>
  <si>
    <t>https://cannabismythen.netlify.app/daten-explorer/m34-soziale-beziehungen/</t>
  </si>
  <si>
    <t>Cannabiskonsument:innen halten sich in geringerem Maße an soziale Regeln.</t>
  </si>
  <si>
    <t>m35-soziale-regeln</t>
  </si>
  <si>
    <t>https://cannabismythen.netlify.app/daten-explorer/m35-soziale-regeln/</t>
  </si>
  <si>
    <t>Cannabiskonsum führt zu niedrigen Leistungen.</t>
  </si>
  <si>
    <t>m36-m37-leistungen-niveau</t>
  </si>
  <si>
    <t>https://cannabismythen.netlify.app/daten-explorer/m36-m37-leistungen-niveau/</t>
  </si>
  <si>
    <t>Cannabiskonsum geht einher mit einem niedrigen sozialen Niveau.</t>
  </si>
  <si>
    <t>Cannabiskonsum ist cool.</t>
  </si>
  <si>
    <t>m38-cool</t>
  </si>
  <si>
    <t>https://cannabismythen.netlify.app/daten-explorer/m38-cool/</t>
  </si>
  <si>
    <t>Ein großer Teil der Bevölkerung konsumiert Cannabis.</t>
  </si>
  <si>
    <t>m39-bevoelkerung-konsumiert</t>
  </si>
  <si>
    <t>https://cannabismythen.netlify.app/daten-explorer/m39-bevoelkerung-konsumiert/</t>
  </si>
  <si>
    <t>Cannabiskonsum ist nun für alle überall erlaubt.</t>
  </si>
  <si>
    <t>m40-ueberall-erlaubt</t>
  </si>
  <si>
    <t>https://cannabismythen.netlify.app/daten-explorer/m40-ueberall-erlaubt/</t>
  </si>
  <si>
    <t>Die Teillegalisierung wird zu einem Anstieg des Cannabiskonsums führen.</t>
  </si>
  <si>
    <t>m41-m42-anstieg-konsum</t>
  </si>
  <si>
    <t>https://cannabismythen.netlify.app/daten-explorer/m41-m42-anstieg-konsum/</t>
  </si>
  <si>
    <t>Die Teillegalisierung wird zu einem Anstieg des Cannabiskonsums unter Minderjährigen führen.</t>
  </si>
  <si>
    <t>_klassMatch</t>
  </si>
  <si>
    <t>_katMatch</t>
  </si>
  <si>
    <t>_sucheMatch</t>
  </si>
  <si>
    <t>_includeFlag</t>
  </si>
  <si>
    <t>_rawSort</t>
  </si>
  <si>
    <t>_sortKey</t>
  </si>
  <si>
    <t>_rank</t>
  </si>
  <si>
    <t>Keine Repräsentativität</t>
  </si>
  <si>
    <r>
      <t xml:space="preserve">Bedeutung
</t>
    </r>
    <r>
      <rPr>
        <b/>
        <i/>
        <sz val="9"/>
        <color rgb="FFFFFFFF"/>
        <rFont val="Arial"/>
        <family val="2"/>
      </rPr>
      <t>Punkte</t>
    </r>
  </si>
  <si>
    <r>
      <t xml:space="preserve">Kenntnis
</t>
    </r>
    <r>
      <rPr>
        <b/>
        <sz val="9"/>
        <color rgb="FFFFFFFF"/>
        <rFont val="Arial"/>
        <family val="2"/>
      </rPr>
      <t>%</t>
    </r>
  </si>
  <si>
    <r>
      <t xml:space="preserve">Richtigkeit
</t>
    </r>
    <r>
      <rPr>
        <b/>
        <i/>
        <sz val="9"/>
        <color rgb="FFFFFFFF"/>
        <rFont val="Arial"/>
        <family val="2"/>
      </rPr>
      <t>Punkte</t>
    </r>
  </si>
  <si>
    <r>
      <t xml:space="preserve">Präv.-Bedeutung
</t>
    </r>
    <r>
      <rPr>
        <b/>
        <i/>
        <sz val="9"/>
        <color rgb="FFFFFFFF"/>
        <rFont val="Arial"/>
        <family val="2"/>
      </rPr>
      <t>Punkte</t>
    </r>
  </si>
  <si>
    <r>
      <t xml:space="preserve">Bevölk.-Relevanz
</t>
    </r>
    <r>
      <rPr>
        <b/>
        <i/>
        <sz val="9"/>
        <color rgb="FFFFFFFF"/>
        <rFont val="Arial"/>
        <family val="2"/>
      </rPr>
      <t>Punkte</t>
    </r>
  </si>
  <si>
    <t>Suche in "Mythos"</t>
  </si>
  <si>
    <t>Individuelle Bedeutung (Punkte 0–100)</t>
  </si>
  <si>
    <t>Wie nah liegt das Urteil der Befragten an der wissenschaftlichen Klassifikation? Beurteilung des Mythos vierstufig erhoben, dann mit der Einordnung der Wissenschaft abgeglichen und auf 0–100 transformiert. 0 = durchgehend konträr zur Wissenschaft · 100 = durchgehend übereinstimmend.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</si>
</sst>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 %&quot;;;&quot;&quot;"/>
    <numFmt numFmtId="165" formatCode="0;;&quot;&quot;"/>
  </numFmts>
  <fonts count="14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10"/>
      <color rgb="FF4A5568"/>
      <name val="Arial"/>
      <family val="2"/>
    </font>
    <font>
      <b/>
      <sz val="10"/>
      <color rgb="FF744210"/>
      <name val="Arial"/>
      <family val="2"/>
    </font>
    <font>
      <b/>
      <sz val="10"/>
      <color rgb="FFFFFFFF"/>
      <name val="Arial"/>
      <family val="2"/>
    </font>
    <font>
      <b/>
      <sz val="10"/>
      <color rgb="FF2D3748"/>
      <name val="Arial"/>
      <family val="2"/>
    </font>
    <font>
      <b/>
      <sz val="11"/>
      <color rgb="FF162A3B"/>
      <name val="Arial"/>
      <family val="2"/>
    </font>
    <font>
      <i/>
      <sz val="11"/>
      <color rgb="FF162A3B"/>
      <name val="Arial"/>
      <family val="2"/>
    </font>
    <font>
      <sz val="10"/>
      <color rgb="FF2D3748"/>
      <name val="Arial"/>
      <family val="2"/>
    </font>
    <font>
      <u/>
      <sz val="10"/>
      <color rgb="FF1F3A52"/>
      <name val="Arial"/>
      <family val="2"/>
    </font>
    <font>
      <b/>
      <sz val="14"/>
      <color rgb="FFFFFFFF"/>
      <name val="Arial"/>
      <family val="2"/>
    </font>
    <font>
      <b/>
      <sz val="11"/>
      <color rgb="FF2D3748"/>
      <name val="Arial"/>
      <family val="2"/>
    </font>
    <font>
      <b/>
      <i/>
      <sz val="9"/>
      <color rgb="FFFFFFFF"/>
      <name val="Arial"/>
      <family val="2"/>
    </font>
    <font>
      <b/>
      <sz val="9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A52"/>
        <bgColor rgb="FF2D3748"/>
      </patternFill>
    </fill>
    <fill>
      <patternFill patternType="solid">
        <fgColor rgb="FFF7FAFC"/>
        <bgColor rgb="FFFFFFFF"/>
      </patternFill>
    </fill>
    <fill>
      <patternFill patternType="solid">
        <fgColor rgb="FFFEF3C7"/>
        <bgColor rgb="FFFFFACC"/>
      </patternFill>
    </fill>
    <fill>
      <patternFill patternType="solid">
        <fgColor rgb="FFEDF2F7"/>
        <bgColor rgb="FFF7FAFC"/>
      </patternFill>
    </fill>
    <fill>
      <patternFill patternType="solid">
        <fgColor rgb="FFFFFACC"/>
        <bgColor rgb="FFFEF3C7"/>
      </patternFill>
    </fill>
    <fill>
      <patternFill patternType="solid">
        <fgColor rgb="FF2C4A6B"/>
        <bgColor rgb="FF1F3A52"/>
      </patternFill>
    </fill>
  </fills>
  <borders count="4">
    <border>
      <left/>
      <right/>
      <top/>
      <bottom/>
      <diagonal/>
    </border>
    <border>
      <left style="medium">
        <color rgb="FFD69E2E"/>
      </left>
      <right style="medium">
        <color rgb="FFD69E2E"/>
      </right>
      <top style="medium">
        <color rgb="FFD69E2E"/>
      </top>
      <bottom style="medium">
        <color rgb="FFD69E2E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ECC94B"/>
      </left>
      <right style="thin">
        <color rgb="FFECC94B"/>
      </right>
      <top style="thin">
        <color rgb="FFECC94B"/>
      </top>
      <bottom style="thin">
        <color rgb="FFECC94B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5" borderId="0" xfId="0" applyFill="1"/>
    <xf numFmtId="0" fontId="5" fillId="5" borderId="2" xfId="0" applyFont="1" applyFill="1" applyBorder="1" applyAlignment="1">
      <alignment horizontal="right" vertical="center" indent="1"/>
    </xf>
    <xf numFmtId="0" fontId="4" fillId="7" borderId="2" xfId="0" applyFont="1" applyFill="1" applyBorder="1" applyAlignment="1">
      <alignment horizontal="center" vertical="center" wrapText="1" indent="1"/>
    </xf>
    <xf numFmtId="0" fontId="4" fillId="7" borderId="2" xfId="0" applyFont="1" applyFill="1" applyBorder="1" applyAlignment="1">
      <alignment horizontal="left" vertical="center" wrapText="1" inden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 indent="1"/>
    </xf>
    <xf numFmtId="164" fontId="8" fillId="0" borderId="2" xfId="0" applyNumberFormat="1" applyFont="1" applyBorder="1" applyAlignment="1">
      <alignment horizontal="center" vertical="center" wrapText="1"/>
    </xf>
    <xf numFmtId="165" fontId="8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1" fillId="3" borderId="0" xfId="0" applyFont="1" applyFill="1" applyAlignment="1">
      <alignment horizontal="left" vertical="top" wrapText="1" indent="1"/>
    </xf>
    <xf numFmtId="0" fontId="8" fillId="0" borderId="0" xfId="0" applyFont="1" applyAlignment="1">
      <alignment horizontal="left" vertical="top" wrapText="1"/>
    </xf>
    <xf numFmtId="0" fontId="4" fillId="7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4" fillId="2" borderId="0" xfId="0" applyFont="1" applyFill="1" applyAlignment="1">
      <alignment horizontal="left" vertical="center" indent="1"/>
    </xf>
    <xf numFmtId="0" fontId="6" fillId="6" borderId="3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right" vertical="center" indent="1"/>
    </xf>
    <xf numFmtId="0" fontId="6" fillId="5" borderId="2" xfId="0" applyFont="1" applyFill="1" applyBorder="1" applyAlignment="1">
      <alignment horizontal="left" vertical="center" indent="1"/>
    </xf>
    <xf numFmtId="0" fontId="7" fillId="6" borderId="3" xfId="0" applyFont="1" applyFill="1" applyBorder="1" applyAlignment="1">
      <alignment horizontal="left" vertical="center" indent="1"/>
    </xf>
    <xf numFmtId="0" fontId="10" fillId="2" borderId="0" xfId="0" applyFont="1" applyFill="1" applyAlignment="1">
      <alignment horizontal="left" vertical="center" indent="1"/>
    </xf>
    <xf numFmtId="0" fontId="4" fillId="7" borderId="0" xfId="0" applyFont="1" applyFill="1"/>
  </cellXfs>
  <cellStyles count="1">
    <cellStyle name="Standard" xfId="0" builtinId="0"/>
  </cellStyles>
  <dxfs count="6">
    <dxf>
      <font>
        <b/>
        <sz val="10"/>
        <color rgb="FFFFFFFF"/>
        <name val="Arial"/>
      </font>
      <fill>
        <patternFill>
          <bgColor rgb="FF718096"/>
        </patternFill>
      </fill>
    </dxf>
    <dxf>
      <font>
        <b/>
        <sz val="10"/>
        <color rgb="FFFFFFFF"/>
        <name val="Arial"/>
      </font>
      <fill>
        <patternFill>
          <bgColor rgb="FFC53030"/>
        </patternFill>
      </fill>
    </dxf>
    <dxf>
      <font>
        <b/>
        <sz val="10"/>
        <color rgb="FFFFFFFF"/>
        <name val="Arial"/>
      </font>
      <fill>
        <patternFill>
          <bgColor rgb="FFE08F3F"/>
        </patternFill>
      </fill>
    </dxf>
    <dxf>
      <font>
        <b/>
        <sz val="10"/>
        <color rgb="FFFFFFFF"/>
        <name val="Arial"/>
      </font>
      <fill>
        <patternFill>
          <bgColor rgb="FF5FA56C"/>
        </patternFill>
      </fill>
    </dxf>
    <dxf>
      <font>
        <b/>
        <sz val="10"/>
        <color rgb="FFFFFFFF"/>
        <name val="Arial"/>
      </font>
      <fill>
        <patternFill>
          <bgColor rgb="FF1B7F44"/>
        </patternFill>
      </fill>
    </dxf>
    <dxf>
      <fill>
        <patternFill>
          <bgColor rgb="FFF7FAF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F44"/>
      <rgbColor rgb="FFC0C0C0"/>
      <rgbColor rgb="FF718096"/>
      <rgbColor rgb="FF9999FF"/>
      <rgbColor rgb="FFC53030"/>
      <rgbColor rgb="FFFFFACC"/>
      <rgbColor rgb="FFEDF2F7"/>
      <rgbColor rgb="FF660066"/>
      <rgbColor rgb="FFE08F3F"/>
      <rgbColor rgb="FF0066CC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AFC"/>
      <rgbColor rgb="FFCCFFCC"/>
      <rgbColor rgb="FFFEF3C7"/>
      <rgbColor rgb="FF99CCFF"/>
      <rgbColor rgb="FFFF99CC"/>
      <rgbColor rgb="FFCC99FF"/>
      <rgbColor rgb="FFFFCC99"/>
      <rgbColor rgb="FF3366FF"/>
      <rgbColor rgb="FF33CCCC"/>
      <rgbColor rgb="FF99CC00"/>
      <rgbColor rgb="FFECC94B"/>
      <rgbColor rgb="FFD69E2E"/>
      <rgbColor rgb="FFFF6600"/>
      <rgbColor rgb="FF4A5568"/>
      <rgbColor rgb="FF969696"/>
      <rgbColor rgb="FF1F3A52"/>
      <rgbColor rgb="FF5FA56C"/>
      <rgbColor rgb="FF162A3B"/>
      <rgbColor rgb="FF333300"/>
      <rgbColor rgb="FF744210"/>
      <rgbColor rgb="FF993366"/>
      <rgbColor rgb="FF2C4A6B"/>
      <rgbColor rgb="FF2D374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en" displayName="Daten" ref="A2:H212" totalsRowShown="0">
  <autoFilter ref="A2:H212" xr:uid="{00000000-0009-0000-0100-000001000000}"/>
  <tableColumns count="8">
    <tableColumn id="1" xr3:uid="{00000000-0010-0000-0000-000001000000}" name="myth_id"/>
    <tableColumn id="2" xr3:uid="{00000000-0010-0000-0000-000002000000}" name="group_id"/>
    <tableColumn id="3" xr3:uid="{00000000-0010-0000-0000-000003000000}" name="Zielgruppe"/>
    <tableColumn id="4" xr3:uid="{00000000-0010-0000-0000-000004000000}" name="Kenntnis %"/>
    <tableColumn id="5" xr3:uid="{00000000-0010-0000-0000-000005000000}" name="Bedeutung Pkt."/>
    <tableColumn id="6" xr3:uid="{00000000-0010-0000-0000-000006000000}" name="Richtigkeit Pkt."/>
    <tableColumn id="7" xr3:uid="{00000000-0010-0000-0000-000007000000}" name="Präventionsbedeutung Pkt."/>
    <tableColumn id="8" xr3:uid="{00000000-0010-0000-0000-000008000000}" name="Bevölkerungsrelevanz Pkt.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ythen" displayName="Mythen" ref="A2:F44" totalsRowShown="0">
  <autoFilter ref="A2:F44" xr:uid="{00000000-0009-0000-0100-000002000000}"/>
  <tableColumns count="6">
    <tableColumn id="1" xr3:uid="{00000000-0010-0000-0100-000001000000}" name="myth_id"/>
    <tableColumn id="2" xr3:uid="{00000000-0010-0000-0100-000002000000}" name="Mythos"/>
    <tableColumn id="3" xr3:uid="{00000000-0010-0000-0100-000003000000}" name="Klassifikation"/>
    <tableColumn id="4" xr3:uid="{00000000-0010-0000-0100-000004000000}" name="Kategorie"/>
    <tableColumn id="5" xr3:uid="{00000000-0010-0000-0100-000005000000}" name="Slug"/>
    <tableColumn id="6" xr3:uid="{00000000-0010-0000-0100-000006000000}" name="UR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showGridLines="0" tabSelected="1" zoomScaleNormal="100" workbookViewId="0">
      <pane ySplit="13" topLeftCell="A14" activePane="bottomLeft" state="frozen"/>
      <selection pane="bottomLeft" activeCell="A11" sqref="A11:J11"/>
    </sheetView>
  </sheetViews>
  <sheetFormatPr baseColWidth="10" defaultColWidth="8.7109375" defaultRowHeight="15" x14ac:dyDescent="0.25"/>
  <cols>
    <col min="1" max="1" width="6" customWidth="1"/>
    <col min="2" max="2" width="45.7109375" customWidth="1"/>
    <col min="3" max="3" width="32" customWidth="1"/>
    <col min="4" max="4" width="17" customWidth="1"/>
    <col min="5" max="9" width="13.7109375" customWidth="1"/>
    <col min="10" max="10" width="24" customWidth="1"/>
  </cols>
  <sheetData>
    <row r="1" spans="1:10" ht="36" customHeight="1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36" customHeight="1" x14ac:dyDescent="0.25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ht="42" customHeight="1" x14ac:dyDescent="0.2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7.5" customHeight="1" x14ac:dyDescent="0.25"/>
    <row r="5" spans="1:10" ht="25.5" customHeight="1" x14ac:dyDescent="0.25">
      <c r="A5" s="16" t="s">
        <v>3</v>
      </c>
      <c r="B5" s="16"/>
      <c r="C5" s="16"/>
      <c r="D5" s="16"/>
      <c r="E5" s="16"/>
      <c r="F5" s="16" t="s">
        <v>4</v>
      </c>
      <c r="G5" s="16"/>
      <c r="H5" s="16"/>
      <c r="I5" s="16"/>
      <c r="J5" s="16"/>
    </row>
    <row r="6" spans="1:10" ht="21.75" customHeight="1" x14ac:dyDescent="0.25">
      <c r="A6" s="1"/>
      <c r="B6" s="2" t="s">
        <v>5</v>
      </c>
      <c r="C6" s="17" t="s">
        <v>6</v>
      </c>
      <c r="D6" s="17"/>
      <c r="E6" s="17"/>
      <c r="F6" s="1"/>
      <c r="G6" s="18" t="s">
        <v>7</v>
      </c>
      <c r="H6" s="18"/>
      <c r="I6" s="17" t="s">
        <v>8</v>
      </c>
      <c r="J6" s="17"/>
    </row>
    <row r="7" spans="1:10" ht="21.75" customHeight="1" x14ac:dyDescent="0.25">
      <c r="A7" s="1"/>
      <c r="B7" s="2" t="s">
        <v>9</v>
      </c>
      <c r="C7" s="17" t="s">
        <v>10</v>
      </c>
      <c r="D7" s="17"/>
      <c r="E7" s="17"/>
      <c r="F7" s="1"/>
      <c r="G7" s="18" t="s">
        <v>11</v>
      </c>
      <c r="H7" s="18"/>
      <c r="I7" s="17" t="s">
        <v>12</v>
      </c>
      <c r="J7" s="17"/>
    </row>
    <row r="8" spans="1:10" ht="21.75" customHeight="1" x14ac:dyDescent="0.25">
      <c r="A8" s="1"/>
      <c r="B8" s="2" t="s">
        <v>13</v>
      </c>
      <c r="C8" s="17" t="s">
        <v>10</v>
      </c>
      <c r="D8" s="17"/>
      <c r="E8" s="17"/>
      <c r="F8" s="1"/>
      <c r="G8" s="18" t="s">
        <v>14</v>
      </c>
      <c r="H8" s="18"/>
      <c r="I8" s="19" t="str">
        <f>SUM(Live!$M$2:$M$43) &amp; " von 42 Mythen"</f>
        <v>42 von 42 Mythen</v>
      </c>
      <c r="J8" s="19"/>
    </row>
    <row r="9" spans="1:10" ht="21.75" customHeight="1" x14ac:dyDescent="0.25">
      <c r="A9" s="1"/>
      <c r="B9" s="2" t="s">
        <v>219</v>
      </c>
      <c r="C9" s="20"/>
      <c r="D9" s="20"/>
      <c r="E9" s="20"/>
      <c r="F9" s="1"/>
      <c r="G9" s="1"/>
      <c r="H9" s="1"/>
      <c r="I9" s="1"/>
      <c r="J9" s="1"/>
    </row>
    <row r="10" spans="1:10" ht="7.5" customHeight="1" x14ac:dyDescent="0.25"/>
    <row r="11" spans="1:10" ht="30" customHeight="1" x14ac:dyDescent="0.25">
      <c r="A11" s="14" t="s">
        <v>15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 ht="7.5" customHeight="1" x14ac:dyDescent="0.25"/>
    <row r="13" spans="1:10" ht="45" customHeight="1" x14ac:dyDescent="0.25">
      <c r="A13" s="3" t="s">
        <v>16</v>
      </c>
      <c r="B13" s="4" t="s">
        <v>17</v>
      </c>
      <c r="C13" s="4" t="s">
        <v>13</v>
      </c>
      <c r="D13" s="3" t="s">
        <v>9</v>
      </c>
      <c r="E13" s="3" t="s">
        <v>215</v>
      </c>
      <c r="F13" s="3" t="s">
        <v>214</v>
      </c>
      <c r="G13" s="3" t="s">
        <v>216</v>
      </c>
      <c r="H13" s="3" t="s">
        <v>217</v>
      </c>
      <c r="I13" s="3" t="s">
        <v>218</v>
      </c>
      <c r="J13" s="3" t="s">
        <v>23</v>
      </c>
    </row>
    <row r="14" spans="1:10" ht="37.5" customHeight="1" x14ac:dyDescent="0.25">
      <c r="A14" s="5">
        <f>IFERROR(INDEX(Live!$A$2:$A$43,MATCH(1,Live!$P$2:$P$43,0)),"")</f>
        <v>1</v>
      </c>
      <c r="B14" s="6" t="str">
        <f>IFERROR(INDEX(Live!$B$2:$B$43,MATCH(1,Live!$P$2:$P$43,0)),"")</f>
        <v>Cannabis ist ein Allheilmittel.</v>
      </c>
      <c r="C14" s="6" t="str">
        <f>IFERROR(INDEX(Live!$C$2:$C$43,MATCH(1,Live!$P$2:$P$43,0)),"")</f>
        <v>Medizinischer und therapeutischer Nutzen</v>
      </c>
      <c r="D14" s="5" t="str">
        <f>IFERROR(INDEX(Live!$D$2:$D$43,MATCH(1,Live!$P$2:$P$43,0)),"")</f>
        <v>Falsch</v>
      </c>
      <c r="E14" s="7">
        <f>IFERROR(INDEX(Live!$E$2:$E$43,MATCH(1,Live!$P$2:$P$43,0)),"")</f>
        <v>12.32</v>
      </c>
      <c r="F14" s="8">
        <f>IFERROR(INDEX(Live!$F$2:$F$43,MATCH(1,Live!$P$2:$P$43,0)),"")</f>
        <v>52.82</v>
      </c>
      <c r="G14" s="8">
        <f>IFERROR(INDEX(Live!$G$2:$G$43,MATCH(1,Live!$P$2:$P$43,0)),"")</f>
        <v>49.1</v>
      </c>
      <c r="H14" s="8">
        <f>IFERROR(INDEX(Live!$H$2:$H$43,MATCH(1,Live!$P$2:$P$43,0)),"")</f>
        <v>41.49</v>
      </c>
      <c r="I14" s="8">
        <f>IFERROR(INDEX(Live!$I$2:$I$43,MATCH(1,Live!$P$2:$P$43,0)),"")</f>
        <v>5.6</v>
      </c>
      <c r="J14" s="9" t="str">
        <f>IFERROR(HYPERLINK(VLOOKUP($A14,Mythen!$A$3:$F$44,6,FALSE()),"Faktenkarte öffnen ↗"),"")</f>
        <v>Faktenkarte öffnen ↗</v>
      </c>
    </row>
    <row r="15" spans="1:10" ht="37.5" customHeight="1" x14ac:dyDescent="0.25">
      <c r="A15" s="5">
        <f>IFERROR(INDEX(Live!$A$2:$A$43,MATCH(2,Live!$P$2:$P$43,0)),"")</f>
        <v>2</v>
      </c>
      <c r="B15" s="6" t="str">
        <f>IFERROR(INDEX(Live!$B$2:$B$43,MATCH(2,Live!$P$2:$P$43,0)),"")</f>
        <v>Cannabiskonsum ist harmlos.</v>
      </c>
      <c r="C15" s="6" t="str">
        <f>IFERROR(INDEX(Live!$C$2:$C$43,MATCH(2,Live!$P$2:$P$43,0)),"")</f>
        <v>Allgemeine Einschätzung der Gefährlichkeit</v>
      </c>
      <c r="D15" s="5" t="str">
        <f>IFERROR(INDEX(Live!$D$2:$D$43,MATCH(2,Live!$P$2:$P$43,0)),"")</f>
        <v>Falsch</v>
      </c>
      <c r="E15" s="7">
        <f>IFERROR(INDEX(Live!$E$2:$E$43,MATCH(2,Live!$P$2:$P$43,0)),"")</f>
        <v>18.02</v>
      </c>
      <c r="F15" s="8">
        <f>IFERROR(INDEX(Live!$F$2:$F$43,MATCH(2,Live!$P$2:$P$43,0)),"")</f>
        <v>52.63</v>
      </c>
      <c r="G15" s="8">
        <f>IFERROR(INDEX(Live!$G$2:$G$43,MATCH(2,Live!$P$2:$P$43,0)),"")</f>
        <v>63.77</v>
      </c>
      <c r="H15" s="8">
        <f>IFERROR(INDEX(Live!$H$2:$H$43,MATCH(2,Live!$P$2:$P$43,0)),"")</f>
        <v>31.78</v>
      </c>
      <c r="I15" s="8">
        <f>IFERROR(INDEX(Live!$I$2:$I$43,MATCH(2,Live!$P$2:$P$43,0)),"")</f>
        <v>6.5</v>
      </c>
      <c r="J15" s="9" t="str">
        <f>IFERROR(HYPERLINK(VLOOKUP($A15,Mythen!$A$3:$F$44,6,FALSE()),"Faktenkarte öffnen ↗"),"")</f>
        <v>Faktenkarte öffnen ↗</v>
      </c>
    </row>
    <row r="16" spans="1:10" ht="37.5" customHeight="1" x14ac:dyDescent="0.25">
      <c r="A16" s="5">
        <f>IFERROR(INDEX(Live!$A$2:$A$43,MATCH(3,Live!$P$2:$P$43,0)),"")</f>
        <v>3</v>
      </c>
      <c r="B16" s="6" t="str">
        <f>IFERROR(INDEX(Live!$B$2:$B$43,MATCH(3,Live!$P$2:$P$43,0)),"")</f>
        <v>Cannabiskonsum durch Heranwachsende führt in stärkerem Maße als bei Erwachsenen zu gesundheitlichen Schäden.</v>
      </c>
      <c r="C16" s="6" t="str">
        <f>IFERROR(INDEX(Live!$C$2:$C$43,MATCH(3,Live!$P$2:$P$43,0)),"")</f>
        <v>Allgemeine Einschätzung der Gefährlichkeit</v>
      </c>
      <c r="D16" s="5" t="str">
        <f>IFERROR(INDEX(Live!$D$2:$D$43,MATCH(3,Live!$P$2:$P$43,0)),"")</f>
        <v>Eher richtig</v>
      </c>
      <c r="E16" s="7">
        <f>IFERROR(INDEX(Live!$E$2:$E$43,MATCH(3,Live!$P$2:$P$43,0)),"")</f>
        <v>48.64</v>
      </c>
      <c r="F16" s="8">
        <f>IFERROR(INDEX(Live!$F$2:$F$43,MATCH(3,Live!$P$2:$P$43,0)),"")</f>
        <v>76.78</v>
      </c>
      <c r="G16" s="8">
        <f>IFERROR(INDEX(Live!$G$2:$G$43,MATCH(3,Live!$P$2:$P$43,0)),"")</f>
        <v>77.930000000000007</v>
      </c>
      <c r="H16" s="8">
        <f>IFERROR(INDEX(Live!$H$2:$H$43,MATCH(3,Live!$P$2:$P$43,0)),"")</f>
        <v>30.43</v>
      </c>
      <c r="I16" s="8">
        <f>IFERROR(INDEX(Live!$I$2:$I$43,MATCH(3,Live!$P$2:$P$43,0)),"")</f>
        <v>16.899999999999999</v>
      </c>
      <c r="J16" s="9" t="str">
        <f>IFERROR(HYPERLINK(VLOOKUP($A16,Mythen!$A$3:$F$44,6,FALSE()),"Faktenkarte öffnen ↗"),"")</f>
        <v>Faktenkarte öffnen ↗</v>
      </c>
    </row>
    <row r="17" spans="1:10" ht="37.5" customHeight="1" x14ac:dyDescent="0.25">
      <c r="A17" s="5">
        <f>IFERROR(INDEX(Live!$A$2:$A$43,MATCH(4,Live!$P$2:$P$43,0)),"")</f>
        <v>4</v>
      </c>
      <c r="B17" s="6" t="str">
        <f>IFERROR(INDEX(Live!$B$2:$B$43,MATCH(4,Live!$P$2:$P$43,0)),"")</f>
        <v>Cannabis ist weniger schädlich als Alkohol.</v>
      </c>
      <c r="C17" s="6" t="str">
        <f>IFERROR(INDEX(Live!$C$2:$C$43,MATCH(4,Live!$P$2:$P$43,0)),"")</f>
        <v>Allgemeine Einschätzung der Gefährlichkeit</v>
      </c>
      <c r="D17" s="5" t="str">
        <f>IFERROR(INDEX(Live!$D$2:$D$43,MATCH(4,Live!$P$2:$P$43,0)),"")</f>
        <v>Richtig</v>
      </c>
      <c r="E17" s="7">
        <f>IFERROR(INDEX(Live!$E$2:$E$43,MATCH(4,Live!$P$2:$P$43,0)),"")</f>
        <v>35.159999999999997</v>
      </c>
      <c r="F17" s="8">
        <f>IFERROR(INDEX(Live!$F$2:$F$43,MATCH(4,Live!$P$2:$P$43,0)),"")</f>
        <v>62.1</v>
      </c>
      <c r="G17" s="8">
        <f>IFERROR(INDEX(Live!$G$2:$G$43,MATCH(4,Live!$P$2:$P$43,0)),"")</f>
        <v>69.66</v>
      </c>
      <c r="H17" s="8">
        <f>IFERROR(INDEX(Live!$H$2:$H$43,MATCH(4,Live!$P$2:$P$43,0)),"")</f>
        <v>27.37</v>
      </c>
      <c r="I17" s="8">
        <f>IFERROR(INDEX(Live!$I$2:$I$43,MATCH(4,Live!$P$2:$P$43,0)),"")</f>
        <v>11.2</v>
      </c>
      <c r="J17" s="9" t="str">
        <f>IFERROR(HYPERLINK(VLOOKUP($A17,Mythen!$A$3:$F$44,6,FALSE()),"Faktenkarte öffnen ↗"),"")</f>
        <v>Faktenkarte öffnen ↗</v>
      </c>
    </row>
    <row r="18" spans="1:10" ht="37.5" customHeight="1" x14ac:dyDescent="0.25">
      <c r="A18" s="5">
        <f>IFERROR(INDEX(Live!$A$2:$A$43,MATCH(5,Live!$P$2:$P$43,0)),"")</f>
        <v>5</v>
      </c>
      <c r="B18" s="6" t="str">
        <f>IFERROR(INDEX(Live!$B$2:$B$43,MATCH(5,Live!$P$2:$P$43,0)),"")</f>
        <v>Cannabis ist schwierig zu dosieren.</v>
      </c>
      <c r="C18" s="6" t="str">
        <f>IFERROR(INDEX(Live!$C$2:$C$43,MATCH(5,Live!$P$2:$P$43,0)),"")</f>
        <v>Risiken durch Dosierung und Qualität</v>
      </c>
      <c r="D18" s="5" t="str">
        <f>IFERROR(INDEX(Live!$D$2:$D$43,MATCH(5,Live!$P$2:$P$43,0)),"")</f>
        <v>Richtig</v>
      </c>
      <c r="E18" s="7">
        <f>IFERROR(INDEX(Live!$E$2:$E$43,MATCH(5,Live!$P$2:$P$43,0)),"")</f>
        <v>16.329999999999998</v>
      </c>
      <c r="F18" s="8">
        <f>IFERROR(INDEX(Live!$F$2:$F$43,MATCH(5,Live!$P$2:$P$43,0)),"")</f>
        <v>68.510000000000005</v>
      </c>
      <c r="G18" s="8">
        <f>IFERROR(INDEX(Live!$G$2:$G$43,MATCH(5,Live!$P$2:$P$43,0)),"")</f>
        <v>76.430000000000007</v>
      </c>
      <c r="H18" s="8">
        <f>IFERROR(INDEX(Live!$H$2:$H$43,MATCH(5,Live!$P$2:$P$43,0)),"")</f>
        <v>26.37</v>
      </c>
      <c r="I18" s="8">
        <f>IFERROR(INDEX(Live!$I$2:$I$43,MATCH(5,Live!$P$2:$P$43,0)),"")</f>
        <v>5.0999999999999996</v>
      </c>
      <c r="J18" s="9" t="str">
        <f>IFERROR(HYPERLINK(VLOOKUP($A18,Mythen!$A$3:$F$44,6,FALSE()),"Faktenkarte öffnen ↗"),"")</f>
        <v>Faktenkarte öffnen ↗</v>
      </c>
    </row>
    <row r="19" spans="1:10" ht="37.5" customHeight="1" x14ac:dyDescent="0.25">
      <c r="A19" s="5">
        <f>IFERROR(INDEX(Live!$A$2:$A$43,MATCH(6,Live!$P$2:$P$43,0)),"")</f>
        <v>6</v>
      </c>
      <c r="B19" s="6" t="str">
        <f>IFERROR(INDEX(Live!$B$2:$B$43,MATCH(6,Live!$P$2:$P$43,0)),"")</f>
        <v>Mischkonsum von Cannabis mit anderen Substanzen ist besonders risikoreich.</v>
      </c>
      <c r="C19" s="6" t="str">
        <f>IFERROR(INDEX(Live!$C$2:$C$43,MATCH(6,Live!$P$2:$P$43,0)),"")</f>
        <v>Risiken durch Dosierung und Qualität</v>
      </c>
      <c r="D19" s="5" t="str">
        <f>IFERROR(INDEX(Live!$D$2:$D$43,MATCH(6,Live!$P$2:$P$43,0)),"")</f>
        <v>Richtig</v>
      </c>
      <c r="E19" s="7">
        <f>IFERROR(INDEX(Live!$E$2:$E$43,MATCH(6,Live!$P$2:$P$43,0)),"")</f>
        <v>43.75</v>
      </c>
      <c r="F19" s="8">
        <f>IFERROR(INDEX(Live!$F$2:$F$43,MATCH(6,Live!$P$2:$P$43,0)),"")</f>
        <v>77.02</v>
      </c>
      <c r="G19" s="8">
        <f>IFERROR(INDEX(Live!$G$2:$G$43,MATCH(6,Live!$P$2:$P$43,0)),"")</f>
        <v>88.97</v>
      </c>
      <c r="H19" s="8">
        <f>IFERROR(INDEX(Live!$H$2:$H$43,MATCH(6,Live!$P$2:$P$43,0)),"")</f>
        <v>21.93</v>
      </c>
      <c r="I19" s="8">
        <f>IFERROR(INDEX(Live!$I$2:$I$43,MATCH(6,Live!$P$2:$P$43,0)),"")</f>
        <v>11.7</v>
      </c>
      <c r="J19" s="9" t="str">
        <f>IFERROR(HYPERLINK(VLOOKUP($A19,Mythen!$A$3:$F$44,6,FALSE()),"Faktenkarte öffnen ↗"),"")</f>
        <v>Faktenkarte öffnen ↗</v>
      </c>
    </row>
    <row r="20" spans="1:10" ht="37.5" customHeight="1" x14ac:dyDescent="0.25">
      <c r="A20" s="5">
        <f>IFERROR(INDEX(Live!$A$2:$A$43,MATCH(7,Live!$P$2:$P$43,0)),"")</f>
        <v>7</v>
      </c>
      <c r="B20" s="6" t="str">
        <f>IFERROR(INDEX(Live!$B$2:$B$43,MATCH(7,Live!$P$2:$P$43,0)),"")</f>
        <v>Zusätze im Cannabis führen zu erhöhten Gesundheitsrisiken.</v>
      </c>
      <c r="C20" s="6" t="str">
        <f>IFERROR(INDEX(Live!$C$2:$C$43,MATCH(7,Live!$P$2:$P$43,0)),"")</f>
        <v>Risiken durch Dosierung und Qualität</v>
      </c>
      <c r="D20" s="5" t="str">
        <f>IFERROR(INDEX(Live!$D$2:$D$43,MATCH(7,Live!$P$2:$P$43,0)),"")</f>
        <v>Richtig</v>
      </c>
      <c r="E20" s="7">
        <f>IFERROR(INDEX(Live!$E$2:$E$43,MATCH(7,Live!$P$2:$P$43,0)),"")</f>
        <v>35.06</v>
      </c>
      <c r="F20" s="8">
        <f>IFERROR(INDEX(Live!$F$2:$F$43,MATCH(7,Live!$P$2:$P$43,0)),"")</f>
        <v>76.489999999999995</v>
      </c>
      <c r="G20" s="8">
        <f>IFERROR(INDEX(Live!$G$2:$G$43,MATCH(7,Live!$P$2:$P$43,0)),"")</f>
        <v>85.7</v>
      </c>
      <c r="H20" s="8">
        <f>IFERROR(INDEX(Live!$H$2:$H$43,MATCH(7,Live!$P$2:$P$43,0)),"")</f>
        <v>24.05</v>
      </c>
      <c r="I20" s="8">
        <f>IFERROR(INDEX(Live!$I$2:$I$43,MATCH(7,Live!$P$2:$P$43,0)),"")</f>
        <v>10.1</v>
      </c>
      <c r="J20" s="9" t="str">
        <f>IFERROR(HYPERLINK(VLOOKUP($A20,Mythen!$A$3:$F$44,6,FALSE()),"Faktenkarte öffnen ↗"),"")</f>
        <v>Faktenkarte öffnen ↗</v>
      </c>
    </row>
    <row r="21" spans="1:10" ht="37.5" customHeight="1" x14ac:dyDescent="0.25">
      <c r="A21" s="5">
        <f>IFERROR(INDEX(Live!$A$2:$A$43,MATCH(8,Live!$P$2:$P$43,0)),"")</f>
        <v>8</v>
      </c>
      <c r="B21" s="6" t="str">
        <f>IFERROR(INDEX(Live!$B$2:$B$43,MATCH(8,Live!$P$2:$P$43,0)),"")</f>
        <v>Cannabiskonsum schädigt den Fötus.</v>
      </c>
      <c r="C21" s="6" t="str">
        <f>IFERROR(INDEX(Live!$C$2:$C$43,MATCH(8,Live!$P$2:$P$43,0)),"")</f>
        <v>Risiken für den Körper und die Entwicklung</v>
      </c>
      <c r="D21" s="5" t="str">
        <f>IFERROR(INDEX(Live!$D$2:$D$43,MATCH(8,Live!$P$2:$P$43,0)),"")</f>
        <v>Richtig</v>
      </c>
      <c r="E21" s="7">
        <f>IFERROR(INDEX(Live!$E$2:$E$43,MATCH(8,Live!$P$2:$P$43,0)),"")</f>
        <v>42.35</v>
      </c>
      <c r="F21" s="8">
        <f>IFERROR(INDEX(Live!$F$2:$F$43,MATCH(8,Live!$P$2:$P$43,0)),"")</f>
        <v>76.489999999999995</v>
      </c>
      <c r="G21" s="8">
        <f>IFERROR(INDEX(Live!$G$2:$G$43,MATCH(8,Live!$P$2:$P$43,0)),"")</f>
        <v>89.87</v>
      </c>
      <c r="H21" s="8">
        <f>IFERROR(INDEX(Live!$H$2:$H$43,MATCH(8,Live!$P$2:$P$43,0)),"")</f>
        <v>21.16</v>
      </c>
      <c r="I21" s="8">
        <f>IFERROR(INDEX(Live!$I$2:$I$43,MATCH(8,Live!$P$2:$P$43,0)),"")</f>
        <v>11</v>
      </c>
      <c r="J21" s="9" t="str">
        <f>IFERROR(HYPERLINK(VLOOKUP($A21,Mythen!$A$3:$F$44,6,FALSE()),"Faktenkarte öffnen ↗"),"")</f>
        <v>Faktenkarte öffnen ↗</v>
      </c>
    </row>
    <row r="22" spans="1:10" ht="37.5" customHeight="1" x14ac:dyDescent="0.25">
      <c r="A22" s="5">
        <f>IFERROR(INDEX(Live!$A$2:$A$43,MATCH(9,Live!$P$2:$P$43,0)),"")</f>
        <v>9</v>
      </c>
      <c r="B22" s="6" t="str">
        <f>IFERROR(INDEX(Live!$B$2:$B$43,MATCH(9,Live!$P$2:$P$43,0)),"")</f>
        <v>Eine Überdosierung von Cannabis führt nicht zum Tod.</v>
      </c>
      <c r="C22" s="6" t="str">
        <f>IFERROR(INDEX(Live!$C$2:$C$43,MATCH(9,Live!$P$2:$P$43,0)),"")</f>
        <v>Risiken durch Dosierung und Qualität</v>
      </c>
      <c r="D22" s="5" t="str">
        <f>IFERROR(INDEX(Live!$D$2:$D$43,MATCH(9,Live!$P$2:$P$43,0)),"")</f>
        <v>Richtig</v>
      </c>
      <c r="E22" s="7">
        <f>IFERROR(INDEX(Live!$E$2:$E$43,MATCH(9,Live!$P$2:$P$43,0)),"")</f>
        <v>20.71</v>
      </c>
      <c r="F22" s="8">
        <f>IFERROR(INDEX(Live!$F$2:$F$43,MATCH(9,Live!$P$2:$P$43,0)),"")</f>
        <v>66.53</v>
      </c>
      <c r="G22" s="8">
        <f>IFERROR(INDEX(Live!$G$2:$G$43,MATCH(9,Live!$P$2:$P$43,0)),"")</f>
        <v>74.3</v>
      </c>
      <c r="H22" s="8">
        <f>IFERROR(INDEX(Live!$H$2:$H$43,MATCH(9,Live!$P$2:$P$43,0)),"")</f>
        <v>27.58</v>
      </c>
      <c r="I22" s="8">
        <f>IFERROR(INDEX(Live!$I$2:$I$43,MATCH(9,Live!$P$2:$P$43,0)),"")</f>
        <v>6.6</v>
      </c>
      <c r="J22" s="9" t="str">
        <f>IFERROR(HYPERLINK(VLOOKUP($A22,Mythen!$A$3:$F$44,6,FALSE()),"Faktenkarte öffnen ↗"),"")</f>
        <v>Faktenkarte öffnen ↗</v>
      </c>
    </row>
    <row r="23" spans="1:10" ht="37.5" customHeight="1" x14ac:dyDescent="0.25">
      <c r="A23" s="5">
        <f>IFERROR(INDEX(Live!$A$2:$A$43,MATCH(10,Live!$P$2:$P$43,0)),"")</f>
        <v>10</v>
      </c>
      <c r="B23" s="6" t="str">
        <f>IFERROR(INDEX(Live!$B$2:$B$43,MATCH(10,Live!$P$2:$P$43,0)),"")</f>
        <v>Cannabis wirkt gegen Schmerzen.</v>
      </c>
      <c r="C23" s="6" t="str">
        <f>IFERROR(INDEX(Live!$C$2:$C$43,MATCH(10,Live!$P$2:$P$43,0)),"")</f>
        <v>Medizinischer und therapeutischer Nutzen</v>
      </c>
      <c r="D23" s="5" t="str">
        <f>IFERROR(INDEX(Live!$D$2:$D$43,MATCH(10,Live!$P$2:$P$43,0)),"")</f>
        <v>Eher falsch</v>
      </c>
      <c r="E23" s="7">
        <f>IFERROR(INDEX(Live!$E$2:$E$43,MATCH(10,Live!$P$2:$P$43,0)),"")</f>
        <v>68.28</v>
      </c>
      <c r="F23" s="8">
        <f>IFERROR(INDEX(Live!$F$2:$F$43,MATCH(10,Live!$P$2:$P$43,0)),"")</f>
        <v>70.260000000000005</v>
      </c>
      <c r="G23" s="8">
        <f>IFERROR(INDEX(Live!$G$2:$G$43,MATCH(10,Live!$P$2:$P$43,0)),"")</f>
        <v>49.74</v>
      </c>
      <c r="H23" s="8">
        <f>IFERROR(INDEX(Live!$H$2:$H$43,MATCH(10,Live!$P$2:$P$43,0)),"")</f>
        <v>46.58</v>
      </c>
      <c r="I23" s="8">
        <f>IFERROR(INDEX(Live!$I$2:$I$43,MATCH(10,Live!$P$2:$P$43,0)),"")</f>
        <v>34.1</v>
      </c>
      <c r="J23" s="9" t="str">
        <f>IFERROR(HYPERLINK(VLOOKUP($A23,Mythen!$A$3:$F$44,6,FALSE()),"Faktenkarte öffnen ↗"),"")</f>
        <v>Faktenkarte öffnen ↗</v>
      </c>
    </row>
    <row r="24" spans="1:10" ht="37.5" customHeight="1" x14ac:dyDescent="0.25">
      <c r="A24" s="5">
        <f>IFERROR(INDEX(Live!$A$2:$A$43,MATCH(11,Live!$P$2:$P$43,0)),"")</f>
        <v>11</v>
      </c>
      <c r="B24" s="6" t="str">
        <f>IFERROR(INDEX(Live!$B$2:$B$43,MATCH(11,Live!$P$2:$P$43,0)),"")</f>
        <v>Cannabiskonsum bewirkt Übelkeit und Erbrechen.</v>
      </c>
      <c r="C24" s="6" t="str">
        <f>IFERROR(INDEX(Live!$C$2:$C$43,MATCH(11,Live!$P$2:$P$43,0)),"")</f>
        <v>Risiken für den Körper und die Entwicklung</v>
      </c>
      <c r="D24" s="5" t="str">
        <f>IFERROR(INDEX(Live!$D$2:$D$43,MATCH(11,Live!$P$2:$P$43,0)),"")</f>
        <v>Richtig</v>
      </c>
      <c r="E24" s="7">
        <f>IFERROR(INDEX(Live!$E$2:$E$43,MATCH(11,Live!$P$2:$P$43,0)),"")</f>
        <v>17.95</v>
      </c>
      <c r="F24" s="8">
        <f>IFERROR(INDEX(Live!$F$2:$F$43,MATCH(11,Live!$P$2:$P$43,0)),"")</f>
        <v>60.15</v>
      </c>
      <c r="G24" s="8">
        <f>IFERROR(INDEX(Live!$G$2:$G$43,MATCH(11,Live!$P$2:$P$43,0)),"")</f>
        <v>71.89</v>
      </c>
      <c r="H24" s="8">
        <f>IFERROR(INDEX(Live!$H$2:$H$43,MATCH(11,Live!$P$2:$P$43,0)),"")</f>
        <v>25.78</v>
      </c>
      <c r="I24" s="8">
        <f>IFERROR(INDEX(Live!$I$2:$I$43,MATCH(11,Live!$P$2:$P$43,0)),"")</f>
        <v>5.5</v>
      </c>
      <c r="J24" s="9" t="str">
        <f>IFERROR(HYPERLINK(VLOOKUP($A24,Mythen!$A$3:$F$44,6,FALSE()),"Faktenkarte öffnen ↗"),"")</f>
        <v>Faktenkarte öffnen ↗</v>
      </c>
    </row>
    <row r="25" spans="1:10" ht="37.5" customHeight="1" x14ac:dyDescent="0.25">
      <c r="A25" s="5">
        <f>IFERROR(INDEX(Live!$A$2:$A$43,MATCH(12,Live!$P$2:$P$43,0)),"")</f>
        <v>12</v>
      </c>
      <c r="B25" s="6" t="str">
        <f>IFERROR(INDEX(Live!$B$2:$B$43,MATCH(12,Live!$P$2:$P$43,0)),"")</f>
        <v>Cannabis hemmt Entzündungen.</v>
      </c>
      <c r="C25" s="6" t="str">
        <f>IFERROR(INDEX(Live!$C$2:$C$43,MATCH(12,Live!$P$2:$P$43,0)),"")</f>
        <v>Medizinischer und therapeutischer Nutzen</v>
      </c>
      <c r="D25" s="5" t="str">
        <f>IFERROR(INDEX(Live!$D$2:$D$43,MATCH(12,Live!$P$2:$P$43,0)),"")</f>
        <v>Keine Aussage möglich</v>
      </c>
      <c r="E25" s="7">
        <f>IFERROR(INDEX(Live!$E$2:$E$43,MATCH(12,Live!$P$2:$P$43,0)),"")</f>
        <v>23.28</v>
      </c>
      <c r="F25" s="8">
        <f>IFERROR(INDEX(Live!$F$2:$F$43,MATCH(12,Live!$P$2:$P$43,0)),"")</f>
        <v>69.36</v>
      </c>
      <c r="G25" s="8" t="str">
        <f>IFERROR(INDEX(Live!$G$2:$G$43,MATCH(12,Live!$P$2:$P$43,0)),"")</f>
        <v/>
      </c>
      <c r="H25" s="8" t="str">
        <f>IFERROR(INDEX(Live!$H$2:$H$43,MATCH(12,Live!$P$2:$P$43,0)),"")</f>
        <v/>
      </c>
      <c r="I25" s="8" t="str">
        <f>IFERROR(INDEX(Live!$I$2:$I$43,MATCH(12,Live!$P$2:$P$43,0)),"")</f>
        <v/>
      </c>
      <c r="J25" s="9" t="str">
        <f>IFERROR(HYPERLINK(VLOOKUP($A25,Mythen!$A$3:$F$44,6,FALSE()),"Faktenkarte öffnen ↗"),"")</f>
        <v>Faktenkarte öffnen ↗</v>
      </c>
    </row>
    <row r="26" spans="1:10" ht="37.5" customHeight="1" x14ac:dyDescent="0.25">
      <c r="A26" s="5">
        <f>IFERROR(INDEX(Live!$A$2:$A$43,MATCH(13,Live!$P$2:$P$43,0)),"")</f>
        <v>13</v>
      </c>
      <c r="B26" s="6" t="str">
        <f>IFERROR(INDEX(Live!$B$2:$B$43,MATCH(13,Live!$P$2:$P$43,0)),"")</f>
        <v>Cannabiskonsum löst Spasmen.</v>
      </c>
      <c r="C26" s="6" t="str">
        <f>IFERROR(INDEX(Live!$C$2:$C$43,MATCH(13,Live!$P$2:$P$43,0)),"")</f>
        <v>Medizinischer und therapeutischer Nutzen</v>
      </c>
      <c r="D26" s="5" t="str">
        <f>IFERROR(INDEX(Live!$D$2:$D$43,MATCH(13,Live!$P$2:$P$43,0)),"")</f>
        <v>Richtig</v>
      </c>
      <c r="E26" s="7">
        <f>IFERROR(INDEX(Live!$E$2:$E$43,MATCH(13,Live!$P$2:$P$43,0)),"")</f>
        <v>28.64</v>
      </c>
      <c r="F26" s="8">
        <f>IFERROR(INDEX(Live!$F$2:$F$43,MATCH(13,Live!$P$2:$P$43,0)),"")</f>
        <v>59.71</v>
      </c>
      <c r="G26" s="8">
        <f>IFERROR(INDEX(Live!$G$2:$G$43,MATCH(13,Live!$P$2:$P$43,0)),"")</f>
        <v>78.319999999999993</v>
      </c>
      <c r="H26" s="8">
        <f>IFERROR(INDEX(Live!$H$2:$H$43,MATCH(13,Live!$P$2:$P$43,0)),"")</f>
        <v>22.81</v>
      </c>
      <c r="I26" s="8">
        <f>IFERROR(INDEX(Live!$I$2:$I$43,MATCH(13,Live!$P$2:$P$43,0)),"")</f>
        <v>7.9</v>
      </c>
      <c r="J26" s="9" t="str">
        <f>IFERROR(HYPERLINK(VLOOKUP($A26,Mythen!$A$3:$F$44,6,FALSE()),"Faktenkarte öffnen ↗"),"")</f>
        <v>Faktenkarte öffnen ↗</v>
      </c>
    </row>
    <row r="27" spans="1:10" ht="37.5" customHeight="1" x14ac:dyDescent="0.25">
      <c r="A27" s="5">
        <f>IFERROR(INDEX(Live!$A$2:$A$43,MATCH(14,Live!$P$2:$P$43,0)),"")</f>
        <v>14</v>
      </c>
      <c r="B27" s="6" t="str">
        <f>IFERROR(INDEX(Live!$B$2:$B$43,MATCH(14,Live!$P$2:$P$43,0)),"")</f>
        <v>Cannabiskonsum verursacht Herz-Kreislauferkrankungen.</v>
      </c>
      <c r="C27" s="6" t="str">
        <f>IFERROR(INDEX(Live!$C$2:$C$43,MATCH(14,Live!$P$2:$P$43,0)),"")</f>
        <v>Risiken für den Körper und die Entwicklung</v>
      </c>
      <c r="D27" s="5" t="str">
        <f>IFERROR(INDEX(Live!$D$2:$D$43,MATCH(14,Live!$P$2:$P$43,0)),"")</f>
        <v>Richtig</v>
      </c>
      <c r="E27" s="7">
        <f>IFERROR(INDEX(Live!$E$2:$E$43,MATCH(14,Live!$P$2:$P$43,0)),"")</f>
        <v>14.96</v>
      </c>
      <c r="F27" s="8">
        <f>IFERROR(INDEX(Live!$F$2:$F$43,MATCH(14,Live!$P$2:$P$43,0)),"")</f>
        <v>75.94</v>
      </c>
      <c r="G27" s="8">
        <f>IFERROR(INDEX(Live!$G$2:$G$43,MATCH(14,Live!$P$2:$P$43,0)),"")</f>
        <v>76.209999999999994</v>
      </c>
      <c r="H27" s="8">
        <f>IFERROR(INDEX(Live!$H$2:$H$43,MATCH(14,Live!$P$2:$P$43,0)),"")</f>
        <v>29.92</v>
      </c>
      <c r="I27" s="8">
        <f>IFERROR(INDEX(Live!$I$2:$I$43,MATCH(14,Live!$P$2:$P$43,0)),"")</f>
        <v>5.0999999999999996</v>
      </c>
      <c r="J27" s="9" t="str">
        <f>IFERROR(HYPERLINK(VLOOKUP($A27,Mythen!$A$3:$F$44,6,FALSE()),"Faktenkarte öffnen ↗"),"")</f>
        <v>Faktenkarte öffnen ↗</v>
      </c>
    </row>
    <row r="28" spans="1:10" ht="37.5" customHeight="1" x14ac:dyDescent="0.25">
      <c r="A28" s="5">
        <f>IFERROR(INDEX(Live!$A$2:$A$43,MATCH(15,Live!$P$2:$P$43,0)),"")</f>
        <v>15</v>
      </c>
      <c r="B28" s="6" t="str">
        <f>IFERROR(INDEX(Live!$B$2:$B$43,MATCH(15,Live!$P$2:$P$43,0)),"")</f>
        <v>Inhalativer Cannabiskonsum bewirkt Atemwegserkrankungen.</v>
      </c>
      <c r="C28" s="6" t="str">
        <f>IFERROR(INDEX(Live!$C$2:$C$43,MATCH(15,Live!$P$2:$P$43,0)),"")</f>
        <v>Risiken für den Körper und die Entwicklung</v>
      </c>
      <c r="D28" s="5" t="str">
        <f>IFERROR(INDEX(Live!$D$2:$D$43,MATCH(15,Live!$P$2:$P$43,0)),"")</f>
        <v>Richtig</v>
      </c>
      <c r="E28" s="7">
        <f>IFERROR(INDEX(Live!$E$2:$E$43,MATCH(15,Live!$P$2:$P$43,0)),"")</f>
        <v>16.03</v>
      </c>
      <c r="F28" s="8">
        <f>IFERROR(INDEX(Live!$F$2:$F$43,MATCH(15,Live!$P$2:$P$43,0)),"")</f>
        <v>69.73</v>
      </c>
      <c r="G28" s="8">
        <f>IFERROR(INDEX(Live!$G$2:$G$43,MATCH(15,Live!$P$2:$P$43,0)),"")</f>
        <v>78.8</v>
      </c>
      <c r="H28" s="8">
        <f>IFERROR(INDEX(Live!$H$2:$H$43,MATCH(15,Live!$P$2:$P$43,0)),"")</f>
        <v>25.72</v>
      </c>
      <c r="I28" s="8">
        <f>IFERROR(INDEX(Live!$I$2:$I$43,MATCH(15,Live!$P$2:$P$43,0)),"")</f>
        <v>4.9000000000000004</v>
      </c>
      <c r="J28" s="9" t="str">
        <f>IFERROR(HYPERLINK(VLOOKUP($A28,Mythen!$A$3:$F$44,6,FALSE()),"Faktenkarte öffnen ↗"),"")</f>
        <v>Faktenkarte öffnen ↗</v>
      </c>
    </row>
    <row r="29" spans="1:10" ht="37.5" customHeight="1" x14ac:dyDescent="0.25">
      <c r="A29" s="5">
        <f>IFERROR(INDEX(Live!$A$2:$A$43,MATCH(16,Live!$P$2:$P$43,0)),"")</f>
        <v>16</v>
      </c>
      <c r="B29" s="6" t="str">
        <f>IFERROR(INDEX(Live!$B$2:$B$43,MATCH(16,Live!$P$2:$P$43,0)),"")</f>
        <v>Cannabiskonsum verursacht Krebserkrankungen.</v>
      </c>
      <c r="C29" s="6" t="str">
        <f>IFERROR(INDEX(Live!$C$2:$C$43,MATCH(16,Live!$P$2:$P$43,0)),"")</f>
        <v>Risiken für den Körper und die Entwicklung</v>
      </c>
      <c r="D29" s="5" t="str">
        <f>IFERROR(INDEX(Live!$D$2:$D$43,MATCH(16,Live!$P$2:$P$43,0)),"")</f>
        <v>Richtig</v>
      </c>
      <c r="E29" s="7">
        <f>IFERROR(INDEX(Live!$E$2:$E$43,MATCH(16,Live!$P$2:$P$43,0)),"")</f>
        <v>10.119999999999999</v>
      </c>
      <c r="F29" s="8">
        <f>IFERROR(INDEX(Live!$F$2:$F$43,MATCH(16,Live!$P$2:$P$43,0)),"")</f>
        <v>72.33</v>
      </c>
      <c r="G29" s="8">
        <f>IFERROR(INDEX(Live!$G$2:$G$43,MATCH(16,Live!$P$2:$P$43,0)),"")</f>
        <v>73.59</v>
      </c>
      <c r="H29" s="8">
        <f>IFERROR(INDEX(Live!$H$2:$H$43,MATCH(16,Live!$P$2:$P$43,0)),"")</f>
        <v>29.95</v>
      </c>
      <c r="I29" s="8">
        <f>IFERROR(INDEX(Live!$I$2:$I$43,MATCH(16,Live!$P$2:$P$43,0)),"")</f>
        <v>3.5</v>
      </c>
      <c r="J29" s="9" t="str">
        <f>IFERROR(HYPERLINK(VLOOKUP($A29,Mythen!$A$3:$F$44,6,FALSE()),"Faktenkarte öffnen ↗"),"")</f>
        <v>Faktenkarte öffnen ↗</v>
      </c>
    </row>
    <row r="30" spans="1:10" ht="37.5" customHeight="1" x14ac:dyDescent="0.25">
      <c r="A30" s="5">
        <f>IFERROR(INDEX(Live!$A$2:$A$43,MATCH(17,Live!$P$2:$P$43,0)),"")</f>
        <v>17</v>
      </c>
      <c r="B30" s="6" t="str">
        <f>IFERROR(INDEX(Live!$B$2:$B$43,MATCH(17,Live!$P$2:$P$43,0)),"")</f>
        <v>Cannabiskonsum hilft beim Abnehmen.</v>
      </c>
      <c r="C30" s="6" t="str">
        <f>IFERROR(INDEX(Live!$C$2:$C$43,MATCH(17,Live!$P$2:$P$43,0)),"")</f>
        <v>Medizinischer und therapeutischer Nutzen</v>
      </c>
      <c r="D30" s="5" t="str">
        <f>IFERROR(INDEX(Live!$D$2:$D$43,MATCH(17,Live!$P$2:$P$43,0)),"")</f>
        <v>Keine Aussage möglich</v>
      </c>
      <c r="E30" s="7">
        <f>IFERROR(INDEX(Live!$E$2:$E$43,MATCH(17,Live!$P$2:$P$43,0)),"")</f>
        <v>5.55</v>
      </c>
      <c r="F30" s="8">
        <f>IFERROR(INDEX(Live!$F$2:$F$43,MATCH(17,Live!$P$2:$P$43,0)),"")</f>
        <v>48.94</v>
      </c>
      <c r="G30" s="8" t="str">
        <f>IFERROR(INDEX(Live!$G$2:$G$43,MATCH(17,Live!$P$2:$P$43,0)),"")</f>
        <v/>
      </c>
      <c r="H30" s="8" t="str">
        <f>IFERROR(INDEX(Live!$H$2:$H$43,MATCH(17,Live!$P$2:$P$43,0)),"")</f>
        <v/>
      </c>
      <c r="I30" s="8" t="str">
        <f>IFERROR(INDEX(Live!$I$2:$I$43,MATCH(17,Live!$P$2:$P$43,0)),"")</f>
        <v/>
      </c>
      <c r="J30" s="9" t="str">
        <f>IFERROR(HYPERLINK(VLOOKUP($A30,Mythen!$A$3:$F$44,6,FALSE()),"Faktenkarte öffnen ↗"),"")</f>
        <v>Faktenkarte öffnen ↗</v>
      </c>
    </row>
    <row r="31" spans="1:10" ht="37.5" customHeight="1" x14ac:dyDescent="0.25">
      <c r="A31" s="5">
        <f>IFERROR(INDEX(Live!$A$2:$A$43,MATCH(18,Live!$P$2:$P$43,0)),"")</f>
        <v>18</v>
      </c>
      <c r="B31" s="6" t="str">
        <f>IFERROR(INDEX(Live!$B$2:$B$43,MATCH(18,Live!$P$2:$P$43,0)),"")</f>
        <v>Cannabiskonsum hilft bei Schlafproblemen.</v>
      </c>
      <c r="C31" s="6" t="str">
        <f>IFERROR(INDEX(Live!$C$2:$C$43,MATCH(18,Live!$P$2:$P$43,0)),"")</f>
        <v>Medizinischer und therapeutischer Nutzen</v>
      </c>
      <c r="D31" s="5" t="str">
        <f>IFERROR(INDEX(Live!$D$2:$D$43,MATCH(18,Live!$P$2:$P$43,0)),"")</f>
        <v>Eher falsch</v>
      </c>
      <c r="E31" s="7">
        <f>IFERROR(INDEX(Live!$E$2:$E$43,MATCH(18,Live!$P$2:$P$43,0)),"")</f>
        <v>38.630000000000003</v>
      </c>
      <c r="F31" s="8">
        <f>IFERROR(INDEX(Live!$F$2:$F$43,MATCH(18,Live!$P$2:$P$43,0)),"")</f>
        <v>61.87</v>
      </c>
      <c r="G31" s="8">
        <f>IFERROR(INDEX(Live!$G$2:$G$43,MATCH(18,Live!$P$2:$P$43,0)),"")</f>
        <v>56.37</v>
      </c>
      <c r="H31" s="8">
        <f>IFERROR(INDEX(Live!$H$2:$H$43,MATCH(18,Live!$P$2:$P$43,0)),"")</f>
        <v>39.33</v>
      </c>
      <c r="I31" s="8">
        <f>IFERROR(INDEX(Live!$I$2:$I$43,MATCH(18,Live!$P$2:$P$43,0)),"")</f>
        <v>16.7</v>
      </c>
      <c r="J31" s="9" t="str">
        <f>IFERROR(HYPERLINK(VLOOKUP($A31,Mythen!$A$3:$F$44,6,FALSE()),"Faktenkarte öffnen ↗"),"")</f>
        <v>Faktenkarte öffnen ↗</v>
      </c>
    </row>
    <row r="32" spans="1:10" ht="37.5" customHeight="1" x14ac:dyDescent="0.25">
      <c r="A32" s="5">
        <f>IFERROR(INDEX(Live!$A$2:$A$43,MATCH(19,Live!$P$2:$P$43,0)),"")</f>
        <v>19</v>
      </c>
      <c r="B32" s="6" t="str">
        <f>IFERROR(INDEX(Live!$B$2:$B$43,MATCH(19,Live!$P$2:$P$43,0)),"")</f>
        <v>Cannabiskonsum verändert die Wahrnehmungen.</v>
      </c>
      <c r="C32" s="6" t="str">
        <f>IFERROR(INDEX(Live!$C$2:$C$43,MATCH(19,Live!$P$2:$P$43,0)),"")</f>
        <v>Einfluss auf Stimmung und Wahrnehmung</v>
      </c>
      <c r="D32" s="5" t="str">
        <f>IFERROR(INDEX(Live!$D$2:$D$43,MATCH(19,Live!$P$2:$P$43,0)),"")</f>
        <v>Richtig</v>
      </c>
      <c r="E32" s="7">
        <f>IFERROR(INDEX(Live!$E$2:$E$43,MATCH(19,Live!$P$2:$P$43,0)),"")</f>
        <v>60.56</v>
      </c>
      <c r="F32" s="8">
        <f>IFERROR(INDEX(Live!$F$2:$F$43,MATCH(19,Live!$P$2:$P$43,0)),"")</f>
        <v>71.83</v>
      </c>
      <c r="G32" s="8">
        <f>IFERROR(INDEX(Live!$G$2:$G$43,MATCH(19,Live!$P$2:$P$43,0)),"")</f>
        <v>87.56</v>
      </c>
      <c r="H32" s="8">
        <f>IFERROR(INDEX(Live!$H$2:$H$43,MATCH(19,Live!$P$2:$P$43,0)),"")</f>
        <v>21.45</v>
      </c>
      <c r="I32" s="8">
        <f>IFERROR(INDEX(Live!$I$2:$I$43,MATCH(19,Live!$P$2:$P$43,0)),"")</f>
        <v>16</v>
      </c>
      <c r="J32" s="9" t="str">
        <f>IFERROR(HYPERLINK(VLOOKUP($A32,Mythen!$A$3:$F$44,6,FALSE()),"Faktenkarte öffnen ↗"),"")</f>
        <v>Faktenkarte öffnen ↗</v>
      </c>
    </row>
    <row r="33" spans="1:10" ht="37.5" customHeight="1" x14ac:dyDescent="0.25">
      <c r="A33" s="5">
        <f>IFERROR(INDEX(Live!$A$2:$A$43,MATCH(20,Live!$P$2:$P$43,0)),"")</f>
        <v>20</v>
      </c>
      <c r="B33" s="6" t="str">
        <f>IFERROR(INDEX(Live!$B$2:$B$43,MATCH(20,Live!$P$2:$P$43,0)),"")</f>
        <v>Cannabiskonsum beeinträchtigt kognitive Fähigkeiten.</v>
      </c>
      <c r="C33" s="6" t="str">
        <f>IFERROR(INDEX(Live!$C$2:$C$43,MATCH(20,Live!$P$2:$P$43,0)),"")</f>
        <v>Risiken für die psychische Gesundheit</v>
      </c>
      <c r="D33" s="5" t="str">
        <f>IFERROR(INDEX(Live!$D$2:$D$43,MATCH(20,Live!$P$2:$P$43,0)),"")</f>
        <v>Richtig</v>
      </c>
      <c r="E33" s="7">
        <f>IFERROR(INDEX(Live!$E$2:$E$43,MATCH(20,Live!$P$2:$P$43,0)),"")</f>
        <v>44.28</v>
      </c>
      <c r="F33" s="8">
        <f>IFERROR(INDEX(Live!$F$2:$F$43,MATCH(20,Live!$P$2:$P$43,0)),"")</f>
        <v>71.41</v>
      </c>
      <c r="G33" s="8">
        <f>IFERROR(INDEX(Live!$G$2:$G$43,MATCH(20,Live!$P$2:$P$43,0)),"")</f>
        <v>83.34</v>
      </c>
      <c r="H33" s="8">
        <f>IFERROR(INDEX(Live!$H$2:$H$43,MATCH(20,Live!$P$2:$P$43,0)),"")</f>
        <v>23.88</v>
      </c>
      <c r="I33" s="8">
        <f>IFERROR(INDEX(Live!$I$2:$I$43,MATCH(20,Live!$P$2:$P$43,0)),"")</f>
        <v>12.7</v>
      </c>
      <c r="J33" s="9" t="str">
        <f>IFERROR(HYPERLINK(VLOOKUP($A33,Mythen!$A$3:$F$44,6,FALSE()),"Faktenkarte öffnen ↗"),"")</f>
        <v>Faktenkarte öffnen ↗</v>
      </c>
    </row>
    <row r="34" spans="1:10" ht="37.5" customHeight="1" x14ac:dyDescent="0.25">
      <c r="A34" s="5">
        <f>IFERROR(INDEX(Live!$A$2:$A$43,MATCH(21,Live!$P$2:$P$43,0)),"")</f>
        <v>21</v>
      </c>
      <c r="B34" s="6" t="str">
        <f>IFERROR(INDEX(Live!$B$2:$B$43,MATCH(21,Live!$P$2:$P$43,0)),"")</f>
        <v>Cannabiskonsum gefährdet die Verkehrssicherheit.</v>
      </c>
      <c r="C34" s="6" t="str">
        <f>IFERROR(INDEX(Live!$C$2:$C$43,MATCH(21,Live!$P$2:$P$43,0)),"")</f>
        <v>Soziale Auswirkungen und Leistungsfähigkeit</v>
      </c>
      <c r="D34" s="5" t="str">
        <f>IFERROR(INDEX(Live!$D$2:$D$43,MATCH(21,Live!$P$2:$P$43,0)),"")</f>
        <v>Richtig</v>
      </c>
      <c r="E34" s="7">
        <f>IFERROR(INDEX(Live!$E$2:$E$43,MATCH(21,Live!$P$2:$P$43,0)),"")</f>
        <v>64.45</v>
      </c>
      <c r="F34" s="8">
        <f>IFERROR(INDEX(Live!$F$2:$F$43,MATCH(21,Live!$P$2:$P$43,0)),"")</f>
        <v>82.84</v>
      </c>
      <c r="G34" s="8">
        <f>IFERROR(INDEX(Live!$G$2:$G$43,MATCH(21,Live!$P$2:$P$43,0)),"")</f>
        <v>91.71</v>
      </c>
      <c r="H34" s="8">
        <f>IFERROR(INDEX(Live!$H$2:$H$43,MATCH(21,Live!$P$2:$P$43,0)),"")</f>
        <v>21.4</v>
      </c>
      <c r="I34" s="8">
        <f>IFERROR(INDEX(Live!$I$2:$I$43,MATCH(21,Live!$P$2:$P$43,0)),"")</f>
        <v>17</v>
      </c>
      <c r="J34" s="9" t="str">
        <f>IFERROR(HYPERLINK(VLOOKUP($A34,Mythen!$A$3:$F$44,6,FALSE()),"Faktenkarte öffnen ↗"),"")</f>
        <v>Faktenkarte öffnen ↗</v>
      </c>
    </row>
    <row r="35" spans="1:10" ht="37.5" customHeight="1" x14ac:dyDescent="0.25">
      <c r="A35" s="5">
        <f>IFERROR(INDEX(Live!$A$2:$A$43,MATCH(22,Live!$P$2:$P$43,0)),"")</f>
        <v>22</v>
      </c>
      <c r="B35" s="6" t="str">
        <f>IFERROR(INDEX(Live!$B$2:$B$43,MATCH(22,Live!$P$2:$P$43,0)),"")</f>
        <v>Cannabis ist eine Einstiegsdroge.</v>
      </c>
      <c r="C35" s="6" t="str">
        <f>IFERROR(INDEX(Live!$C$2:$C$43,MATCH(22,Live!$P$2:$P$43,0)),"")</f>
        <v>Risiken für die psychische Gesundheit</v>
      </c>
      <c r="D35" s="5" t="str">
        <f>IFERROR(INDEX(Live!$D$2:$D$43,MATCH(22,Live!$P$2:$P$43,0)),"")</f>
        <v>Eher falsch</v>
      </c>
      <c r="E35" s="7">
        <f>IFERROR(INDEX(Live!$E$2:$E$43,MATCH(22,Live!$P$2:$P$43,0)),"")</f>
        <v>58.07</v>
      </c>
      <c r="F35" s="8">
        <f>IFERROR(INDEX(Live!$F$2:$F$43,MATCH(22,Live!$P$2:$P$43,0)),"")</f>
        <v>66.83</v>
      </c>
      <c r="G35" s="8">
        <f>IFERROR(INDEX(Live!$G$2:$G$43,MATCH(22,Live!$P$2:$P$43,0)),"")</f>
        <v>51.65</v>
      </c>
      <c r="H35" s="8">
        <f>IFERROR(INDEX(Live!$H$2:$H$43,MATCH(22,Live!$P$2:$P$43,0)),"")</f>
        <v>44.41</v>
      </c>
      <c r="I35" s="8">
        <f>IFERROR(INDEX(Live!$I$2:$I$43,MATCH(22,Live!$P$2:$P$43,0)),"")</f>
        <v>27.8</v>
      </c>
      <c r="J35" s="9" t="str">
        <f>IFERROR(HYPERLINK(VLOOKUP($A35,Mythen!$A$3:$F$44,6,FALSE()),"Faktenkarte öffnen ↗"),"")</f>
        <v>Faktenkarte öffnen ↗</v>
      </c>
    </row>
    <row r="36" spans="1:10" ht="37.5" customHeight="1" x14ac:dyDescent="0.25">
      <c r="A36" s="5">
        <f>IFERROR(INDEX(Live!$A$2:$A$43,MATCH(23,Live!$P$2:$P$43,0)),"")</f>
        <v>23</v>
      </c>
      <c r="B36" s="6" t="str">
        <f>IFERROR(INDEX(Live!$B$2:$B$43,MATCH(23,Live!$P$2:$P$43,0)),"")</f>
        <v>Cannabis verursacht keine Abhängigkeit.</v>
      </c>
      <c r="C36" s="6" t="str">
        <f>IFERROR(INDEX(Live!$C$2:$C$43,MATCH(23,Live!$P$2:$P$43,0)),"")</f>
        <v>Risiken für die psychische Gesundheit</v>
      </c>
      <c r="D36" s="5" t="str">
        <f>IFERROR(INDEX(Live!$D$2:$D$43,MATCH(23,Live!$P$2:$P$43,0)),"")</f>
        <v>Falsch</v>
      </c>
      <c r="E36" s="7">
        <f>IFERROR(INDEX(Live!$E$2:$E$43,MATCH(23,Live!$P$2:$P$43,0)),"")</f>
        <v>16.43</v>
      </c>
      <c r="F36" s="8">
        <f>IFERROR(INDEX(Live!$F$2:$F$43,MATCH(23,Live!$P$2:$P$43,0)),"")</f>
        <v>58.35</v>
      </c>
      <c r="G36" s="8">
        <f>IFERROR(INDEX(Live!$G$2:$G$43,MATCH(23,Live!$P$2:$P$43,0)),"")</f>
        <v>63.75</v>
      </c>
      <c r="H36" s="8">
        <f>IFERROR(INDEX(Live!$H$2:$H$43,MATCH(23,Live!$P$2:$P$43,0)),"")</f>
        <v>33.68</v>
      </c>
      <c r="I36" s="8">
        <f>IFERROR(INDEX(Live!$I$2:$I$43,MATCH(23,Live!$P$2:$P$43,0)),"")</f>
        <v>6.2</v>
      </c>
      <c r="J36" s="9" t="str">
        <f>IFERROR(HYPERLINK(VLOOKUP($A36,Mythen!$A$3:$F$44,6,FALSE()),"Faktenkarte öffnen ↗"),"")</f>
        <v>Faktenkarte öffnen ↗</v>
      </c>
    </row>
    <row r="37" spans="1:10" ht="37.5" customHeight="1" x14ac:dyDescent="0.25">
      <c r="A37" s="5">
        <f>IFERROR(INDEX(Live!$A$2:$A$43,MATCH(24,Live!$P$2:$P$43,0)),"")</f>
        <v>24</v>
      </c>
      <c r="B37" s="6" t="str">
        <f>IFERROR(INDEX(Live!$B$2:$B$43,MATCH(24,Live!$P$2:$P$43,0)),"")</f>
        <v>Cannabiskonsum verursacht Psychosen.</v>
      </c>
      <c r="C37" s="6" t="str">
        <f>IFERROR(INDEX(Live!$C$2:$C$43,MATCH(24,Live!$P$2:$P$43,0)),"")</f>
        <v>Risiken für die psychische Gesundheit</v>
      </c>
      <c r="D37" s="5" t="str">
        <f>IFERROR(INDEX(Live!$D$2:$D$43,MATCH(24,Live!$P$2:$P$43,0)),"")</f>
        <v>Richtig</v>
      </c>
      <c r="E37" s="7">
        <f>IFERROR(INDEX(Live!$E$2:$E$43,MATCH(24,Live!$P$2:$P$43,0)),"")</f>
        <v>39.06</v>
      </c>
      <c r="F37" s="8">
        <f>IFERROR(INDEX(Live!$F$2:$F$43,MATCH(24,Live!$P$2:$P$43,0)),"")</f>
        <v>69.599999999999994</v>
      </c>
      <c r="G37" s="8">
        <f>IFERROR(INDEX(Live!$G$2:$G$43,MATCH(24,Live!$P$2:$P$43,0)),"")</f>
        <v>74.25</v>
      </c>
      <c r="H37" s="8">
        <f>IFERROR(INDEX(Live!$H$2:$H$43,MATCH(24,Live!$P$2:$P$43,0)),"")</f>
        <v>28.48</v>
      </c>
      <c r="I37" s="8">
        <f>IFERROR(INDEX(Live!$I$2:$I$43,MATCH(24,Live!$P$2:$P$43,0)),"")</f>
        <v>12.9</v>
      </c>
      <c r="J37" s="9" t="str">
        <f>IFERROR(HYPERLINK(VLOOKUP($A37,Mythen!$A$3:$F$44,6,FALSE()),"Faktenkarte öffnen ↗"),"")</f>
        <v>Faktenkarte öffnen ↗</v>
      </c>
    </row>
    <row r="38" spans="1:10" ht="37.5" customHeight="1" x14ac:dyDescent="0.25">
      <c r="A38" s="5">
        <f>IFERROR(INDEX(Live!$A$2:$A$43,MATCH(25,Live!$P$2:$P$43,0)),"")</f>
        <v>25</v>
      </c>
      <c r="B38" s="6" t="str">
        <f>IFERROR(INDEX(Live!$B$2:$B$43,MATCH(25,Live!$P$2:$P$43,0)),"")</f>
        <v>Cannabiskonsum wirkt gegen Angst.</v>
      </c>
      <c r="C38" s="6" t="str">
        <f>IFERROR(INDEX(Live!$C$2:$C$43,MATCH(25,Live!$P$2:$P$43,0)),"")</f>
        <v>Medizinischer und therapeutischer Nutzen</v>
      </c>
      <c r="D38" s="5" t="str">
        <f>IFERROR(INDEX(Live!$D$2:$D$43,MATCH(25,Live!$P$2:$P$43,0)),"")</f>
        <v>Eher falsch</v>
      </c>
      <c r="E38" s="7">
        <f>IFERROR(INDEX(Live!$E$2:$E$43,MATCH(25,Live!$P$2:$P$43,0)),"")</f>
        <v>32.18</v>
      </c>
      <c r="F38" s="8">
        <f>IFERROR(INDEX(Live!$F$2:$F$43,MATCH(25,Live!$P$2:$P$43,0)),"")</f>
        <v>60.49</v>
      </c>
      <c r="G38" s="8">
        <f>IFERROR(INDEX(Live!$G$2:$G$43,MATCH(25,Live!$P$2:$P$43,0)),"")</f>
        <v>60.6</v>
      </c>
      <c r="H38" s="8">
        <f>IFERROR(INDEX(Live!$H$2:$H$43,MATCH(25,Live!$P$2:$P$43,0)),"")</f>
        <v>35.85</v>
      </c>
      <c r="I38" s="8">
        <f>IFERROR(INDEX(Live!$I$2:$I$43,MATCH(25,Live!$P$2:$P$43,0)),"")</f>
        <v>12.8</v>
      </c>
      <c r="J38" s="9" t="str">
        <f>IFERROR(HYPERLINK(VLOOKUP($A38,Mythen!$A$3:$F$44,6,FALSE()),"Faktenkarte öffnen ↗"),"")</f>
        <v>Faktenkarte öffnen ↗</v>
      </c>
    </row>
    <row r="39" spans="1:10" ht="37.5" customHeight="1" x14ac:dyDescent="0.25">
      <c r="A39" s="5">
        <f>IFERROR(INDEX(Live!$A$2:$A$43,MATCH(26,Live!$P$2:$P$43,0)),"")</f>
        <v>26</v>
      </c>
      <c r="B39" s="6" t="str">
        <f>IFERROR(INDEX(Live!$B$2:$B$43,MATCH(26,Live!$P$2:$P$43,0)),"")</f>
        <v>Cannabiskonsum wirkt gegen Depressionen.</v>
      </c>
      <c r="C39" s="6" t="str">
        <f>IFERROR(INDEX(Live!$C$2:$C$43,MATCH(26,Live!$P$2:$P$43,0)),"")</f>
        <v>Medizinischer und therapeutischer Nutzen</v>
      </c>
      <c r="D39" s="5" t="str">
        <f>IFERROR(INDEX(Live!$D$2:$D$43,MATCH(26,Live!$P$2:$P$43,0)),"")</f>
        <v>Falsch</v>
      </c>
      <c r="E39" s="7">
        <f>IFERROR(INDEX(Live!$E$2:$E$43,MATCH(26,Live!$P$2:$P$43,0)),"")</f>
        <v>31.26</v>
      </c>
      <c r="F39" s="8">
        <f>IFERROR(INDEX(Live!$F$2:$F$43,MATCH(26,Live!$P$2:$P$43,0)),"")</f>
        <v>62.58</v>
      </c>
      <c r="G39" s="8">
        <f>IFERROR(INDEX(Live!$G$2:$G$43,MATCH(26,Live!$P$2:$P$43,0)),"")</f>
        <v>30.18</v>
      </c>
      <c r="H39" s="8">
        <f>IFERROR(INDEX(Live!$H$2:$H$43,MATCH(26,Live!$P$2:$P$43,0)),"")</f>
        <v>54.67</v>
      </c>
      <c r="I39" s="8">
        <f>IFERROR(INDEX(Live!$I$2:$I$43,MATCH(26,Live!$P$2:$P$43,0)),"")</f>
        <v>18</v>
      </c>
      <c r="J39" s="9" t="str">
        <f>IFERROR(HYPERLINK(VLOOKUP($A39,Mythen!$A$3:$F$44,6,FALSE()),"Faktenkarte öffnen ↗"),"")</f>
        <v>Faktenkarte öffnen ↗</v>
      </c>
    </row>
    <row r="40" spans="1:10" ht="37.5" customHeight="1" x14ac:dyDescent="0.25">
      <c r="A40" s="5">
        <f>IFERROR(INDEX(Live!$A$2:$A$43,MATCH(27,Live!$P$2:$P$43,0)),"")</f>
        <v>27</v>
      </c>
      <c r="B40" s="6" t="str">
        <f>IFERROR(INDEX(Live!$B$2:$B$43,MATCH(27,Live!$P$2:$P$43,0)),"")</f>
        <v>Cannabiskonsum wirkt gegen ADHS.</v>
      </c>
      <c r="C40" s="6" t="str">
        <f>IFERROR(INDEX(Live!$C$2:$C$43,MATCH(27,Live!$P$2:$P$43,0)),"")</f>
        <v>Medizinischer und therapeutischer Nutzen</v>
      </c>
      <c r="D40" s="5" t="str">
        <f>IFERROR(INDEX(Live!$D$2:$D$43,MATCH(27,Live!$P$2:$P$43,0)),"")</f>
        <v>Eher falsch</v>
      </c>
      <c r="E40" s="7">
        <f>IFERROR(INDEX(Live!$E$2:$E$43,MATCH(27,Live!$P$2:$P$43,0)),"")</f>
        <v>30.37</v>
      </c>
      <c r="F40" s="8">
        <f>IFERROR(INDEX(Live!$F$2:$F$43,MATCH(27,Live!$P$2:$P$43,0)),"")</f>
        <v>60.45</v>
      </c>
      <c r="G40" s="8">
        <f>IFERROR(INDEX(Live!$G$2:$G$43,MATCH(27,Live!$P$2:$P$43,0)),"")</f>
        <v>55.93</v>
      </c>
      <c r="H40" s="8">
        <f>IFERROR(INDEX(Live!$H$2:$H$43,MATCH(27,Live!$P$2:$P$43,0)),"")</f>
        <v>38.24</v>
      </c>
      <c r="I40" s="8">
        <f>IFERROR(INDEX(Live!$I$2:$I$43,MATCH(27,Live!$P$2:$P$43,0)),"")</f>
        <v>12.8</v>
      </c>
      <c r="J40" s="9" t="str">
        <f>IFERROR(HYPERLINK(VLOOKUP($A40,Mythen!$A$3:$F$44,6,FALSE()),"Faktenkarte öffnen ↗"),"")</f>
        <v>Faktenkarte öffnen ↗</v>
      </c>
    </row>
    <row r="41" spans="1:10" ht="37.5" customHeight="1" x14ac:dyDescent="0.25">
      <c r="A41" s="5">
        <f>IFERROR(INDEX(Live!$A$2:$A$43,MATCH(28,Live!$P$2:$P$43,0)),"")</f>
        <v>28</v>
      </c>
      <c r="B41" s="6" t="str">
        <f>IFERROR(INDEX(Live!$B$2:$B$43,MATCH(28,Live!$P$2:$P$43,0)),"")</f>
        <v>Cannabiskonsum verursacht einen generellen Motivationsverlust.</v>
      </c>
      <c r="C41" s="6" t="str">
        <f>IFERROR(INDEX(Live!$C$2:$C$43,MATCH(28,Live!$P$2:$P$43,0)),"")</f>
        <v>Risiken für die psychische Gesundheit</v>
      </c>
      <c r="D41" s="5" t="str">
        <f>IFERROR(INDEX(Live!$D$2:$D$43,MATCH(28,Live!$P$2:$P$43,0)),"")</f>
        <v>Falsch</v>
      </c>
      <c r="E41" s="7">
        <f>IFERROR(INDEX(Live!$E$2:$E$43,MATCH(28,Live!$P$2:$P$43,0)),"")</f>
        <v>26.29</v>
      </c>
      <c r="F41" s="8">
        <f>IFERROR(INDEX(Live!$F$2:$F$43,MATCH(28,Live!$P$2:$P$43,0)),"")</f>
        <v>66.83</v>
      </c>
      <c r="G41" s="8">
        <f>IFERROR(INDEX(Live!$G$2:$G$43,MATCH(28,Live!$P$2:$P$43,0)),"")</f>
        <v>25.05</v>
      </c>
      <c r="H41" s="8">
        <f>IFERROR(INDEX(Live!$H$2:$H$43,MATCH(28,Live!$P$2:$P$43,0)),"")</f>
        <v>60.32</v>
      </c>
      <c r="I41" s="8">
        <f>IFERROR(INDEX(Live!$I$2:$I$43,MATCH(28,Live!$P$2:$P$43,0)),"")</f>
        <v>16.5</v>
      </c>
      <c r="J41" s="9" t="str">
        <f>IFERROR(HYPERLINK(VLOOKUP($A41,Mythen!$A$3:$F$44,6,FALSE()),"Faktenkarte öffnen ↗"),"")</f>
        <v>Faktenkarte öffnen ↗</v>
      </c>
    </row>
    <row r="42" spans="1:10" ht="37.5" customHeight="1" x14ac:dyDescent="0.25">
      <c r="A42" s="5">
        <f>IFERROR(INDEX(Live!$A$2:$A$43,MATCH(29,Live!$P$2:$P$43,0)),"")</f>
        <v>29</v>
      </c>
      <c r="B42" s="6" t="str">
        <f>IFERROR(INDEX(Live!$B$2:$B$43,MATCH(29,Live!$P$2:$P$43,0)),"")</f>
        <v>Cannabiskonsum verbessert die Gemütslage.</v>
      </c>
      <c r="C42" s="6" t="str">
        <f>IFERROR(INDEX(Live!$C$2:$C$43,MATCH(29,Live!$P$2:$P$43,0)),"")</f>
        <v>Einfluss auf Stimmung und Wahrnehmung</v>
      </c>
      <c r="D42" s="5" t="str">
        <f>IFERROR(INDEX(Live!$D$2:$D$43,MATCH(29,Live!$P$2:$P$43,0)),"")</f>
        <v>Eher richtig</v>
      </c>
      <c r="E42" s="7">
        <f>IFERROR(INDEX(Live!$E$2:$E$43,MATCH(29,Live!$P$2:$P$43,0)),"")</f>
        <v>32.89</v>
      </c>
      <c r="F42" s="8">
        <f>IFERROR(INDEX(Live!$F$2:$F$43,MATCH(29,Live!$P$2:$P$43,0)),"")</f>
        <v>59.2</v>
      </c>
      <c r="G42" s="8">
        <f>IFERROR(INDEX(Live!$G$2:$G$43,MATCH(29,Live!$P$2:$P$43,0)),"")</f>
        <v>84.4</v>
      </c>
      <c r="H42" s="8">
        <f>IFERROR(INDEX(Live!$H$2:$H$43,MATCH(29,Live!$P$2:$P$43,0)),"")</f>
        <v>21.23</v>
      </c>
      <c r="I42" s="8">
        <f>IFERROR(INDEX(Live!$I$2:$I$43,MATCH(29,Live!$P$2:$P$43,0)),"")</f>
        <v>8.6</v>
      </c>
      <c r="J42" s="9" t="str">
        <f>IFERROR(HYPERLINK(VLOOKUP($A42,Mythen!$A$3:$F$44,6,FALSE()),"Faktenkarte öffnen ↗"),"")</f>
        <v>Faktenkarte öffnen ↗</v>
      </c>
    </row>
    <row r="43" spans="1:10" ht="37.5" customHeight="1" x14ac:dyDescent="0.25">
      <c r="A43" s="5">
        <f>IFERROR(INDEX(Live!$A$2:$A$43,MATCH(30,Live!$P$2:$P$43,0)),"")</f>
        <v>30</v>
      </c>
      <c r="B43" s="6" t="str">
        <f>IFERROR(INDEX(Live!$B$2:$B$43,MATCH(30,Live!$P$2:$P$43,0)),"")</f>
        <v>Cannabiskonsum führt zu Suizidgedanken.</v>
      </c>
      <c r="C43" s="6" t="str">
        <f>IFERROR(INDEX(Live!$C$2:$C$43,MATCH(30,Live!$P$2:$P$43,0)),"")</f>
        <v>Risiken für die psychische Gesundheit</v>
      </c>
      <c r="D43" s="5" t="str">
        <f>IFERROR(INDEX(Live!$D$2:$D$43,MATCH(30,Live!$P$2:$P$43,0)),"")</f>
        <v>Eher richtig</v>
      </c>
      <c r="E43" s="7">
        <f>IFERROR(INDEX(Live!$E$2:$E$43,MATCH(30,Live!$P$2:$P$43,0)),"")</f>
        <v>14.09</v>
      </c>
      <c r="F43" s="8">
        <f>IFERROR(INDEX(Live!$F$2:$F$43,MATCH(30,Live!$P$2:$P$43,0)),"")</f>
        <v>73.290000000000006</v>
      </c>
      <c r="G43" s="8">
        <f>IFERROR(INDEX(Live!$G$2:$G$43,MATCH(30,Live!$P$2:$P$43,0)),"")</f>
        <v>83.02</v>
      </c>
      <c r="H43" s="8">
        <f>IFERROR(INDEX(Live!$H$2:$H$43,MATCH(30,Live!$P$2:$P$43,0)),"")</f>
        <v>25.83</v>
      </c>
      <c r="I43" s="8">
        <f>IFERROR(INDEX(Live!$I$2:$I$43,MATCH(30,Live!$P$2:$P$43,0)),"")</f>
        <v>4.3</v>
      </c>
      <c r="J43" s="9" t="str">
        <f>IFERROR(HYPERLINK(VLOOKUP($A43,Mythen!$A$3:$F$44,6,FALSE()),"Faktenkarte öffnen ↗"),"")</f>
        <v>Faktenkarte öffnen ↗</v>
      </c>
    </row>
    <row r="44" spans="1:10" ht="37.5" customHeight="1" x14ac:dyDescent="0.25">
      <c r="A44" s="5">
        <f>IFERROR(INDEX(Live!$A$2:$A$43,MATCH(31,Live!$P$2:$P$43,0)),"")</f>
        <v>31</v>
      </c>
      <c r="B44" s="6" t="str">
        <f>IFERROR(INDEX(Live!$B$2:$B$43,MATCH(31,Live!$P$2:$P$43,0)),"")</f>
        <v>Cannabiskonsum entspannt.</v>
      </c>
      <c r="C44" s="6" t="str">
        <f>IFERROR(INDEX(Live!$C$2:$C$43,MATCH(31,Live!$P$2:$P$43,0)),"")</f>
        <v>Einfluss auf Stimmung und Wahrnehmung</v>
      </c>
      <c r="D44" s="5" t="str">
        <f>IFERROR(INDEX(Live!$D$2:$D$43,MATCH(31,Live!$P$2:$P$43,0)),"")</f>
        <v>Eher richtig</v>
      </c>
      <c r="E44" s="7">
        <f>IFERROR(INDEX(Live!$E$2:$E$43,MATCH(31,Live!$P$2:$P$43,0)),"")</f>
        <v>57.16</v>
      </c>
      <c r="F44" s="8">
        <f>IFERROR(INDEX(Live!$F$2:$F$43,MATCH(31,Live!$P$2:$P$43,0)),"")</f>
        <v>62.08</v>
      </c>
      <c r="G44" s="8">
        <f>IFERROR(INDEX(Live!$G$2:$G$43,MATCH(31,Live!$P$2:$P$43,0)),"")</f>
        <v>82.01</v>
      </c>
      <c r="H44" s="8">
        <f>IFERROR(INDEX(Live!$H$2:$H$43,MATCH(31,Live!$P$2:$P$43,0)),"")</f>
        <v>23.67</v>
      </c>
      <c r="I44" s="8">
        <f>IFERROR(INDEX(Live!$I$2:$I$43,MATCH(31,Live!$P$2:$P$43,0)),"")</f>
        <v>16.3</v>
      </c>
      <c r="J44" s="9" t="str">
        <f>IFERROR(HYPERLINK(VLOOKUP($A44,Mythen!$A$3:$F$44,6,FALSE()),"Faktenkarte öffnen ↗"),"")</f>
        <v>Faktenkarte öffnen ↗</v>
      </c>
    </row>
    <row r="45" spans="1:10" ht="37.5" customHeight="1" x14ac:dyDescent="0.25">
      <c r="A45" s="5">
        <f>IFERROR(INDEX(Live!$A$2:$A$43,MATCH(32,Live!$P$2:$P$43,0)),"")</f>
        <v>32</v>
      </c>
      <c r="B45" s="6" t="str">
        <f>IFERROR(INDEX(Live!$B$2:$B$43,MATCH(32,Live!$P$2:$P$43,0)),"")</f>
        <v>Cannabiskonsum macht nicht aggressiv.</v>
      </c>
      <c r="C45" s="6" t="str">
        <f>IFERROR(INDEX(Live!$C$2:$C$43,MATCH(32,Live!$P$2:$P$43,0)),"")</f>
        <v>Einfluss auf Stimmung und Wahrnehmung</v>
      </c>
      <c r="D45" s="5" t="str">
        <f>IFERROR(INDEX(Live!$D$2:$D$43,MATCH(32,Live!$P$2:$P$43,0)),"")</f>
        <v>Eher falsch</v>
      </c>
      <c r="E45" s="7">
        <f>IFERROR(INDEX(Live!$E$2:$E$43,MATCH(32,Live!$P$2:$P$43,0)),"")</f>
        <v>23.96</v>
      </c>
      <c r="F45" s="8">
        <f>IFERROR(INDEX(Live!$F$2:$F$43,MATCH(32,Live!$P$2:$P$43,0)),"")</f>
        <v>62.13</v>
      </c>
      <c r="G45" s="8">
        <f>IFERROR(INDEX(Live!$G$2:$G$43,MATCH(32,Live!$P$2:$P$43,0)),"")</f>
        <v>57.86</v>
      </c>
      <c r="H45" s="8">
        <f>IFERROR(INDEX(Live!$H$2:$H$43,MATCH(32,Live!$P$2:$P$43,0)),"")</f>
        <v>38.42</v>
      </c>
      <c r="I45" s="8">
        <f>IFERROR(INDEX(Live!$I$2:$I$43,MATCH(32,Live!$P$2:$P$43,0)),"")</f>
        <v>10.1</v>
      </c>
      <c r="J45" s="9" t="str">
        <f>IFERROR(HYPERLINK(VLOOKUP($A45,Mythen!$A$3:$F$44,6,FALSE()),"Faktenkarte öffnen ↗"),"")</f>
        <v>Faktenkarte öffnen ↗</v>
      </c>
    </row>
    <row r="46" spans="1:10" ht="37.5" customHeight="1" x14ac:dyDescent="0.25">
      <c r="A46" s="5">
        <f>IFERROR(INDEX(Live!$A$2:$A$43,MATCH(33,Live!$P$2:$P$43,0)),"")</f>
        <v>33</v>
      </c>
      <c r="B46" s="6" t="str">
        <f>IFERROR(INDEX(Live!$B$2:$B$43,MATCH(33,Live!$P$2:$P$43,0)),"")</f>
        <v>Cannabiskonsum macht kreativ.</v>
      </c>
      <c r="C46" s="6" t="str">
        <f>IFERROR(INDEX(Live!$C$2:$C$43,MATCH(33,Live!$P$2:$P$43,0)),"")</f>
        <v>Soziale Auswirkungen und Leistungsfähigkeit</v>
      </c>
      <c r="D46" s="5" t="str">
        <f>IFERROR(INDEX(Live!$D$2:$D$43,MATCH(33,Live!$P$2:$P$43,0)),"")</f>
        <v>Eher falsch</v>
      </c>
      <c r="E46" s="7">
        <f>IFERROR(INDEX(Live!$E$2:$E$43,MATCH(33,Live!$P$2:$P$43,0)),"")</f>
        <v>18.75</v>
      </c>
      <c r="F46" s="8">
        <f>IFERROR(INDEX(Live!$F$2:$F$43,MATCH(33,Live!$P$2:$P$43,0)),"")</f>
        <v>51.36</v>
      </c>
      <c r="G46" s="8">
        <f>IFERROR(INDEX(Live!$G$2:$G$43,MATCH(33,Live!$P$2:$P$43,0)),"")</f>
        <v>60.97</v>
      </c>
      <c r="H46" s="8">
        <f>IFERROR(INDEX(Live!$H$2:$H$43,MATCH(33,Live!$P$2:$P$43,0)),"")</f>
        <v>31.97</v>
      </c>
      <c r="I46" s="8">
        <f>IFERROR(INDEX(Live!$I$2:$I$43,MATCH(33,Live!$P$2:$P$43,0)),"")</f>
        <v>6.8</v>
      </c>
      <c r="J46" s="9" t="str">
        <f>IFERROR(HYPERLINK(VLOOKUP($A46,Mythen!$A$3:$F$44,6,FALSE()),"Faktenkarte öffnen ↗"),"")</f>
        <v>Faktenkarte öffnen ↗</v>
      </c>
    </row>
    <row r="47" spans="1:10" ht="37.5" customHeight="1" x14ac:dyDescent="0.25">
      <c r="A47" s="5">
        <f>IFERROR(INDEX(Live!$A$2:$A$43,MATCH(34,Live!$P$2:$P$43,0)),"")</f>
        <v>34</v>
      </c>
      <c r="B47" s="6" t="str">
        <f>IFERROR(INDEX(Live!$B$2:$B$43,MATCH(34,Live!$P$2:$P$43,0)),"")</f>
        <v>Cannabiskonsum schädigt soziale Beziehungen.</v>
      </c>
      <c r="C47" s="6" t="str">
        <f>IFERROR(INDEX(Live!$C$2:$C$43,MATCH(34,Live!$P$2:$P$43,0)),"")</f>
        <v>Soziale Auswirkungen und Leistungsfähigkeit</v>
      </c>
      <c r="D47" s="5" t="str">
        <f>IFERROR(INDEX(Live!$D$2:$D$43,MATCH(34,Live!$P$2:$P$43,0)),"")</f>
        <v>Eher falsch</v>
      </c>
      <c r="E47" s="7">
        <f>IFERROR(INDEX(Live!$E$2:$E$43,MATCH(34,Live!$P$2:$P$43,0)),"")</f>
        <v>30.33</v>
      </c>
      <c r="F47" s="8">
        <f>IFERROR(INDEX(Live!$F$2:$F$43,MATCH(34,Live!$P$2:$P$43,0)),"")</f>
        <v>71.08</v>
      </c>
      <c r="G47" s="8">
        <f>IFERROR(INDEX(Live!$G$2:$G$43,MATCH(34,Live!$P$2:$P$43,0)),"")</f>
        <v>54.17</v>
      </c>
      <c r="H47" s="8">
        <f>IFERROR(INDEX(Live!$H$2:$H$43,MATCH(34,Live!$P$2:$P$43,0)),"")</f>
        <v>44.25</v>
      </c>
      <c r="I47" s="8">
        <f>IFERROR(INDEX(Live!$I$2:$I$43,MATCH(34,Live!$P$2:$P$43,0)),"")</f>
        <v>14.5</v>
      </c>
      <c r="J47" s="9" t="str">
        <f>IFERROR(HYPERLINK(VLOOKUP($A47,Mythen!$A$3:$F$44,6,FALSE()),"Faktenkarte öffnen ↗"),"")</f>
        <v>Faktenkarte öffnen ↗</v>
      </c>
    </row>
    <row r="48" spans="1:10" ht="37.5" customHeight="1" x14ac:dyDescent="0.25">
      <c r="A48" s="5">
        <f>IFERROR(INDEX(Live!$A$2:$A$43,MATCH(35,Live!$P$2:$P$43,0)),"")</f>
        <v>35</v>
      </c>
      <c r="B48" s="6" t="str">
        <f>IFERROR(INDEX(Live!$B$2:$B$43,MATCH(35,Live!$P$2:$P$43,0)),"")</f>
        <v>Cannabiskonsument:innen halten sich in geringerem Maße an soziale Regeln.</v>
      </c>
      <c r="C48" s="6" t="str">
        <f>IFERROR(INDEX(Live!$C$2:$C$43,MATCH(35,Live!$P$2:$P$43,0)),"")</f>
        <v>Soziale Auswirkungen und Leistungsfähigkeit</v>
      </c>
      <c r="D48" s="5" t="str">
        <f>IFERROR(INDEX(Live!$D$2:$D$43,MATCH(35,Live!$P$2:$P$43,0)),"")</f>
        <v>Eher falsch</v>
      </c>
      <c r="E48" s="7">
        <f>IFERROR(INDEX(Live!$E$2:$E$43,MATCH(35,Live!$P$2:$P$43,0)),"")</f>
        <v>13.89</v>
      </c>
      <c r="F48" s="8">
        <f>IFERROR(INDEX(Live!$F$2:$F$43,MATCH(35,Live!$P$2:$P$43,0)),"")</f>
        <v>66.75</v>
      </c>
      <c r="G48" s="8">
        <f>IFERROR(INDEX(Live!$G$2:$G$43,MATCH(35,Live!$P$2:$P$43,0)),"")</f>
        <v>63.33</v>
      </c>
      <c r="H48" s="8">
        <f>IFERROR(INDEX(Live!$H$2:$H$43,MATCH(35,Live!$P$2:$P$43,0)),"")</f>
        <v>36.99</v>
      </c>
      <c r="I48" s="8">
        <f>IFERROR(INDEX(Live!$I$2:$I$43,MATCH(35,Live!$P$2:$P$43,0)),"")</f>
        <v>5.7</v>
      </c>
      <c r="J48" s="9" t="str">
        <f>IFERROR(HYPERLINK(VLOOKUP($A48,Mythen!$A$3:$F$44,6,FALSE()),"Faktenkarte öffnen ↗"),"")</f>
        <v>Faktenkarte öffnen ↗</v>
      </c>
    </row>
    <row r="49" spans="1:10" ht="37.5" customHeight="1" x14ac:dyDescent="0.25">
      <c r="A49" s="5">
        <f>IFERROR(INDEX(Live!$A$2:$A$43,MATCH(36,Live!$P$2:$P$43,0)),"")</f>
        <v>36</v>
      </c>
      <c r="B49" s="6" t="str">
        <f>IFERROR(INDEX(Live!$B$2:$B$43,MATCH(36,Live!$P$2:$P$43,0)),"")</f>
        <v>Cannabiskonsum führt zu niedrigen Leistungen.</v>
      </c>
      <c r="C49" s="6" t="str">
        <f>IFERROR(INDEX(Live!$C$2:$C$43,MATCH(36,Live!$P$2:$P$43,0)),"")</f>
        <v>Soziale Auswirkungen und Leistungsfähigkeit</v>
      </c>
      <c r="D49" s="5" t="str">
        <f>IFERROR(INDEX(Live!$D$2:$D$43,MATCH(36,Live!$P$2:$P$43,0)),"")</f>
        <v>Eher falsch</v>
      </c>
      <c r="E49" s="7">
        <f>IFERROR(INDEX(Live!$E$2:$E$43,MATCH(36,Live!$P$2:$P$43,0)),"")</f>
        <v>27.8</v>
      </c>
      <c r="F49" s="8">
        <f>IFERROR(INDEX(Live!$F$2:$F$43,MATCH(36,Live!$P$2:$P$43,0)),"")</f>
        <v>69.36</v>
      </c>
      <c r="G49" s="8">
        <f>IFERROR(INDEX(Live!$G$2:$G$43,MATCH(36,Live!$P$2:$P$43,0)),"")</f>
        <v>55.28</v>
      </c>
      <c r="H49" s="8">
        <f>IFERROR(INDEX(Live!$H$2:$H$43,MATCH(36,Live!$P$2:$P$43,0)),"")</f>
        <v>42.95</v>
      </c>
      <c r="I49" s="8">
        <f>IFERROR(INDEX(Live!$I$2:$I$43,MATCH(36,Live!$P$2:$P$43,0)),"")</f>
        <v>12.9</v>
      </c>
      <c r="J49" s="9" t="str">
        <f>IFERROR(HYPERLINK(VLOOKUP($A49,Mythen!$A$3:$F$44,6,FALSE()),"Faktenkarte öffnen ↗"),"")</f>
        <v>Faktenkarte öffnen ↗</v>
      </c>
    </row>
    <row r="50" spans="1:10" ht="37.5" customHeight="1" x14ac:dyDescent="0.25">
      <c r="A50" s="5">
        <f>IFERROR(INDEX(Live!$A$2:$A$43,MATCH(37,Live!$P$2:$P$43,0)),"")</f>
        <v>37</v>
      </c>
      <c r="B50" s="6" t="str">
        <f>IFERROR(INDEX(Live!$B$2:$B$43,MATCH(37,Live!$P$2:$P$43,0)),"")</f>
        <v>Cannabiskonsum geht einher mit einem niedrigen sozialen Niveau.</v>
      </c>
      <c r="C50" s="6" t="str">
        <f>IFERROR(INDEX(Live!$C$2:$C$43,MATCH(37,Live!$P$2:$P$43,0)),"")</f>
        <v>Soziale Auswirkungen und Leistungsfähigkeit</v>
      </c>
      <c r="D50" s="5" t="str">
        <f>IFERROR(INDEX(Live!$D$2:$D$43,MATCH(37,Live!$P$2:$P$43,0)),"")</f>
        <v>Falsch</v>
      </c>
      <c r="E50" s="7">
        <f>IFERROR(INDEX(Live!$E$2:$E$43,MATCH(37,Live!$P$2:$P$43,0)),"")</f>
        <v>12.48</v>
      </c>
      <c r="F50" s="8">
        <f>IFERROR(INDEX(Live!$F$2:$F$43,MATCH(37,Live!$P$2:$P$43,0)),"")</f>
        <v>55.44</v>
      </c>
      <c r="G50" s="8">
        <f>IFERROR(INDEX(Live!$G$2:$G$43,MATCH(37,Live!$P$2:$P$43,0)),"")</f>
        <v>35.85</v>
      </c>
      <c r="H50" s="8">
        <f>IFERROR(INDEX(Live!$H$2:$H$43,MATCH(37,Live!$P$2:$P$43,0)),"")</f>
        <v>48.16</v>
      </c>
      <c r="I50" s="8">
        <f>IFERROR(INDEX(Live!$I$2:$I$43,MATCH(37,Live!$P$2:$P$43,0)),"")</f>
        <v>6.4</v>
      </c>
      <c r="J50" s="9" t="str">
        <f>IFERROR(HYPERLINK(VLOOKUP($A50,Mythen!$A$3:$F$44,6,FALSE()),"Faktenkarte öffnen ↗"),"")</f>
        <v>Faktenkarte öffnen ↗</v>
      </c>
    </row>
    <row r="51" spans="1:10" ht="37.5" customHeight="1" x14ac:dyDescent="0.25">
      <c r="A51" s="5">
        <f>IFERROR(INDEX(Live!$A$2:$A$43,MATCH(38,Live!$P$2:$P$43,0)),"")</f>
        <v>38</v>
      </c>
      <c r="B51" s="6" t="str">
        <f>IFERROR(INDEX(Live!$B$2:$B$43,MATCH(38,Live!$P$2:$P$43,0)),"")</f>
        <v>Cannabiskonsum ist cool.</v>
      </c>
      <c r="C51" s="6" t="str">
        <f>IFERROR(INDEX(Live!$C$2:$C$43,MATCH(38,Live!$P$2:$P$43,0)),"")</f>
        <v>Soziale Auswirkungen und Leistungsfähigkeit</v>
      </c>
      <c r="D51" s="5" t="str">
        <f>IFERROR(INDEX(Live!$D$2:$D$43,MATCH(38,Live!$P$2:$P$43,0)),"")</f>
        <v>Falsch</v>
      </c>
      <c r="E51" s="7">
        <f>IFERROR(INDEX(Live!$E$2:$E$43,MATCH(38,Live!$P$2:$P$43,0)),"")</f>
        <v>13.91</v>
      </c>
      <c r="F51" s="8">
        <f>IFERROR(INDEX(Live!$F$2:$F$43,MATCH(38,Live!$P$2:$P$43,0)),"")</f>
        <v>30.78</v>
      </c>
      <c r="G51" s="8">
        <f>IFERROR(INDEX(Live!$G$2:$G$43,MATCH(38,Live!$P$2:$P$43,0)),"")</f>
        <v>61.8</v>
      </c>
      <c r="H51" s="8">
        <f>IFERROR(INDEX(Live!$H$2:$H$43,MATCH(38,Live!$P$2:$P$43,0)),"")</f>
        <v>23.73</v>
      </c>
      <c r="I51" s="8">
        <f>IFERROR(INDEX(Live!$I$2:$I$43,MATCH(38,Live!$P$2:$P$43,0)),"")</f>
        <v>4</v>
      </c>
      <c r="J51" s="9" t="str">
        <f>IFERROR(HYPERLINK(VLOOKUP($A51,Mythen!$A$3:$F$44,6,FALSE()),"Faktenkarte öffnen ↗"),"")</f>
        <v>Faktenkarte öffnen ↗</v>
      </c>
    </row>
    <row r="52" spans="1:10" ht="37.5" customHeight="1" x14ac:dyDescent="0.25">
      <c r="A52" s="5">
        <f>IFERROR(INDEX(Live!$A$2:$A$43,MATCH(39,Live!$P$2:$P$43,0)),"")</f>
        <v>39</v>
      </c>
      <c r="B52" s="6" t="str">
        <f>IFERROR(INDEX(Live!$B$2:$B$43,MATCH(39,Live!$P$2:$P$43,0)),"")</f>
        <v>Ein großer Teil der Bevölkerung konsumiert Cannabis.</v>
      </c>
      <c r="C52" s="6" t="str">
        <f>IFERROR(INDEX(Live!$C$2:$C$43,MATCH(39,Live!$P$2:$P$43,0)),"")</f>
        <v>Verbreitung in der Bevölkerung und Gesetzgebung</v>
      </c>
      <c r="D52" s="5" t="str">
        <f>IFERROR(INDEX(Live!$D$2:$D$43,MATCH(39,Live!$P$2:$P$43,0)),"")</f>
        <v>Falsch</v>
      </c>
      <c r="E52" s="7">
        <f>IFERROR(INDEX(Live!$E$2:$E$43,MATCH(39,Live!$P$2:$P$43,0)),"")</f>
        <v>18.440000000000001</v>
      </c>
      <c r="F52" s="8">
        <f>IFERROR(INDEX(Live!$F$2:$F$43,MATCH(39,Live!$P$2:$P$43,0)),"")</f>
        <v>54.83</v>
      </c>
      <c r="G52" s="8">
        <f>IFERROR(INDEX(Live!$G$2:$G$43,MATCH(39,Live!$P$2:$P$43,0)),"")</f>
        <v>25.5</v>
      </c>
      <c r="H52" s="8">
        <f>IFERROR(INDEX(Live!$H$2:$H$43,MATCH(39,Live!$P$2:$P$43,0)),"")</f>
        <v>51.36</v>
      </c>
      <c r="I52" s="8">
        <f>IFERROR(INDEX(Live!$I$2:$I$43,MATCH(39,Live!$P$2:$P$43,0)),"")</f>
        <v>10</v>
      </c>
      <c r="J52" s="9" t="str">
        <f>IFERROR(HYPERLINK(VLOOKUP($A52,Mythen!$A$3:$F$44,6,FALSE()),"Faktenkarte öffnen ↗"),"")</f>
        <v>Faktenkarte öffnen ↗</v>
      </c>
    </row>
    <row r="53" spans="1:10" ht="37.5" customHeight="1" x14ac:dyDescent="0.25">
      <c r="A53" s="5">
        <f>IFERROR(INDEX(Live!$A$2:$A$43,MATCH(40,Live!$P$2:$P$43,0)),"")</f>
        <v>40</v>
      </c>
      <c r="B53" s="6" t="str">
        <f>IFERROR(INDEX(Live!$B$2:$B$43,MATCH(40,Live!$P$2:$P$43,0)),"")</f>
        <v>Cannabiskonsum ist nun für alle überall erlaubt.</v>
      </c>
      <c r="C53" s="6" t="str">
        <f>IFERROR(INDEX(Live!$C$2:$C$43,MATCH(40,Live!$P$2:$P$43,0)),"")</f>
        <v>Verbreitung in der Bevölkerung und Gesetzgebung</v>
      </c>
      <c r="D53" s="5" t="str">
        <f>IFERROR(INDEX(Live!$D$2:$D$43,MATCH(40,Live!$P$2:$P$43,0)),"")</f>
        <v>Falsch</v>
      </c>
      <c r="E53" s="7">
        <f>IFERROR(INDEX(Live!$E$2:$E$43,MATCH(40,Live!$P$2:$P$43,0)),"")</f>
        <v>17.850000000000001</v>
      </c>
      <c r="F53" s="8">
        <f>IFERROR(INDEX(Live!$F$2:$F$43,MATCH(40,Live!$P$2:$P$43,0)),"")</f>
        <v>52.1</v>
      </c>
      <c r="G53" s="8">
        <f>IFERROR(INDEX(Live!$G$2:$G$43,MATCH(40,Live!$P$2:$P$43,0)),"")</f>
        <v>35.76</v>
      </c>
      <c r="H53" s="8">
        <f>IFERROR(INDEX(Live!$H$2:$H$43,MATCH(40,Live!$P$2:$P$43,0)),"")</f>
        <v>44.39</v>
      </c>
      <c r="I53" s="8">
        <f>IFERROR(INDEX(Live!$I$2:$I$43,MATCH(40,Live!$P$2:$P$43,0)),"")</f>
        <v>8.5</v>
      </c>
      <c r="J53" s="9" t="str">
        <f>IFERROR(HYPERLINK(VLOOKUP($A53,Mythen!$A$3:$F$44,6,FALSE()),"Faktenkarte öffnen ↗"),"")</f>
        <v>Faktenkarte öffnen ↗</v>
      </c>
    </row>
    <row r="54" spans="1:10" ht="37.5" customHeight="1" x14ac:dyDescent="0.25">
      <c r="A54" s="5">
        <f>IFERROR(INDEX(Live!$A$2:$A$43,MATCH(41,Live!$P$2:$P$43,0)),"")</f>
        <v>41</v>
      </c>
      <c r="B54" s="6" t="str">
        <f>IFERROR(INDEX(Live!$B$2:$B$43,MATCH(41,Live!$P$2:$P$43,0)),"")</f>
        <v>Die Teillegalisierung wird zu einem Anstieg des Cannabiskonsums führen.</v>
      </c>
      <c r="C54" s="6" t="str">
        <f>IFERROR(INDEX(Live!$C$2:$C$43,MATCH(41,Live!$P$2:$P$43,0)),"")</f>
        <v>Verbreitung in der Bevölkerung und Gesetzgebung</v>
      </c>
      <c r="D54" s="5" t="str">
        <f>IFERROR(INDEX(Live!$D$2:$D$43,MATCH(41,Live!$P$2:$P$43,0)),"")</f>
        <v>Richtig</v>
      </c>
      <c r="E54" s="7">
        <f>IFERROR(INDEX(Live!$E$2:$E$43,MATCH(41,Live!$P$2:$P$43,0)),"")</f>
        <v>47.56</v>
      </c>
      <c r="F54" s="8">
        <f>IFERROR(INDEX(Live!$F$2:$F$43,MATCH(41,Live!$P$2:$P$43,0)),"")</f>
        <v>66.33</v>
      </c>
      <c r="G54" s="8">
        <f>IFERROR(INDEX(Live!$G$2:$G$43,MATCH(41,Live!$P$2:$P$43,0)),"")</f>
        <v>79.260000000000005</v>
      </c>
      <c r="H54" s="8">
        <f>IFERROR(INDEX(Live!$H$2:$H$43,MATCH(41,Live!$P$2:$P$43,0)),"")</f>
        <v>23.37</v>
      </c>
      <c r="I54" s="8">
        <f>IFERROR(INDEX(Live!$I$2:$I$43,MATCH(41,Live!$P$2:$P$43,0)),"")</f>
        <v>13.4</v>
      </c>
      <c r="J54" s="9" t="str">
        <f>IFERROR(HYPERLINK(VLOOKUP($A54,Mythen!$A$3:$F$44,6,FALSE()),"Faktenkarte öffnen ↗"),"")</f>
        <v>Faktenkarte öffnen ↗</v>
      </c>
    </row>
    <row r="55" spans="1:10" ht="37.5" customHeight="1" x14ac:dyDescent="0.25">
      <c r="A55" s="5">
        <f>IFERROR(INDEX(Live!$A$2:$A$43,MATCH(42,Live!$P$2:$P$43,0)),"")</f>
        <v>42</v>
      </c>
      <c r="B55" s="6" t="str">
        <f>IFERROR(INDEX(Live!$B$2:$B$43,MATCH(42,Live!$P$2:$P$43,0)),"")</f>
        <v>Die Teillegalisierung wird zu einem Anstieg des Cannabiskonsums unter Minderjährigen führen.</v>
      </c>
      <c r="C55" s="6" t="str">
        <f>IFERROR(INDEX(Live!$C$2:$C$43,MATCH(42,Live!$P$2:$P$43,0)),"")</f>
        <v>Verbreitung in der Bevölkerung und Gesetzgebung</v>
      </c>
      <c r="D55" s="5" t="str">
        <f>IFERROR(INDEX(Live!$D$2:$D$43,MATCH(42,Live!$P$2:$P$43,0)),"")</f>
        <v>Eher falsch</v>
      </c>
      <c r="E55" s="7">
        <f>IFERROR(INDEX(Live!$E$2:$E$43,MATCH(42,Live!$P$2:$P$43,0)),"")</f>
        <v>42.19</v>
      </c>
      <c r="F55" s="8">
        <f>IFERROR(INDEX(Live!$F$2:$F$43,MATCH(42,Live!$P$2:$P$43,0)),"")</f>
        <v>71.88</v>
      </c>
      <c r="G55" s="8">
        <f>IFERROR(INDEX(Live!$G$2:$G$43,MATCH(42,Live!$P$2:$P$43,0)),"")</f>
        <v>53.06</v>
      </c>
      <c r="H55" s="8">
        <f>IFERROR(INDEX(Live!$H$2:$H$43,MATCH(42,Live!$P$2:$P$43,0)),"")</f>
        <v>45.73</v>
      </c>
      <c r="I55" s="8">
        <f>IFERROR(INDEX(Live!$I$2:$I$43,MATCH(42,Live!$P$2:$P$43,0)),"")</f>
        <v>20.7</v>
      </c>
      <c r="J55" s="9" t="str">
        <f>IFERROR(HYPERLINK(VLOOKUP($A55,Mythen!$A$3:$F$44,6,FALSE()),"Faktenkarte öffnen ↗"),"")</f>
        <v>Faktenkarte öffnen ↗</v>
      </c>
    </row>
  </sheetData>
  <autoFilter ref="A13:J13" xr:uid="{00000000-0009-0000-0000-000000000000}"/>
  <mergeCells count="16">
    <mergeCell ref="C8:E8"/>
    <mergeCell ref="G8:H8"/>
    <mergeCell ref="I8:J8"/>
    <mergeCell ref="C9:E9"/>
    <mergeCell ref="A11:J11"/>
    <mergeCell ref="C6:E6"/>
    <mergeCell ref="G6:H6"/>
    <mergeCell ref="I6:J6"/>
    <mergeCell ref="C7:E7"/>
    <mergeCell ref="G7:H7"/>
    <mergeCell ref="I7:J7"/>
    <mergeCell ref="A1:J1"/>
    <mergeCell ref="A2:J2"/>
    <mergeCell ref="A3:J3"/>
    <mergeCell ref="A5:E5"/>
    <mergeCell ref="F5:J5"/>
  </mergeCells>
  <conditionalFormatting sqref="A14:I55">
    <cfRule type="expression" dxfId="5" priority="12">
      <formula>MOD(ROW(),2)=0</formula>
    </cfRule>
  </conditionalFormatting>
  <conditionalFormatting sqref="D14:D55">
    <cfRule type="expression" dxfId="4" priority="2">
      <formula>EXACT($D14,"Richtig")</formula>
    </cfRule>
    <cfRule type="expression" dxfId="3" priority="3">
      <formula>EXACT($D14,"Eher richtig")</formula>
    </cfRule>
    <cfRule type="expression" dxfId="2" priority="4">
      <formula>EXACT($D14,"Eher falsch")</formula>
    </cfRule>
    <cfRule type="expression" dxfId="1" priority="5">
      <formula>EXACT($D14,"Falsch")</formula>
    </cfRule>
    <cfRule type="expression" dxfId="0" priority="6">
      <formula>EXACT($D14,"Keine Aussage möglich")</formula>
    </cfRule>
  </conditionalFormatting>
  <conditionalFormatting sqref="E14:E55">
    <cfRule type="dataBar" priority="7">
      <dataBar>
        <cfvo type="num" val="0"/>
        <cfvo type="num" val="100"/>
        <color rgb="FF718096"/>
      </dataBar>
      <extLst>
        <ext xmlns:x14="http://schemas.microsoft.com/office/spreadsheetml/2009/9/main" uri="{B025F937-C7B1-47D3-B67F-A62EFF666E3E}">
          <x14:id>{4FEC596B-CAE4-4EBA-AC64-6F7BB33EC980}</x14:id>
        </ext>
      </extLst>
    </cfRule>
  </conditionalFormatting>
  <conditionalFormatting sqref="F14:F55">
    <cfRule type="dataBar" priority="8">
      <dataBar>
        <cfvo type="num" val="0"/>
        <cfvo type="num" val="100"/>
        <color rgb="FF5FA5C8"/>
      </dataBar>
      <extLst>
        <ext xmlns:x14="http://schemas.microsoft.com/office/spreadsheetml/2009/9/main" uri="{B025F937-C7B1-47D3-B67F-A62EFF666E3E}">
          <x14:id>{F05D5763-6028-43E6-9C2D-DBD745ED5B26}</x14:id>
        </ext>
      </extLst>
    </cfRule>
  </conditionalFormatting>
  <conditionalFormatting sqref="G14:G55">
    <cfRule type="dataBar" priority="9">
      <dataBar>
        <cfvo type="num" val="0"/>
        <cfvo type="num" val="100"/>
        <color rgb="FF1B7F44"/>
      </dataBar>
      <extLst>
        <ext xmlns:x14="http://schemas.microsoft.com/office/spreadsheetml/2009/9/main" uri="{B025F937-C7B1-47D3-B67F-A62EFF666E3E}">
          <x14:id>{29BDFE56-4112-43BC-99F0-672216D4DAB8}</x14:id>
        </ext>
      </extLst>
    </cfRule>
  </conditionalFormatting>
  <conditionalFormatting sqref="H14:H55">
    <cfRule type="dataBar" priority="10">
      <dataBar>
        <cfvo type="num" val="0"/>
        <cfvo type="num" val="100"/>
        <color rgb="FFC53030"/>
      </dataBar>
      <extLst>
        <ext xmlns:x14="http://schemas.microsoft.com/office/spreadsheetml/2009/9/main" uri="{B025F937-C7B1-47D3-B67F-A62EFF666E3E}">
          <x14:id>{79C850B9-BA2B-4EFA-9D79-48C599A3605E}</x14:id>
        </ext>
      </extLst>
    </cfRule>
  </conditionalFormatting>
  <conditionalFormatting sqref="I14:I55">
    <cfRule type="dataBar" priority="11">
      <dataBar>
        <cfvo type="num" val="0"/>
        <cfvo type="num" val="100"/>
        <color rgb="FFB7791F"/>
      </dataBar>
      <extLst>
        <ext xmlns:x14="http://schemas.microsoft.com/office/spreadsheetml/2009/9/main" uri="{B025F937-C7B1-47D3-B67F-A62EFF666E3E}">
          <x14:id>{D3AA6CC0-9059-449E-A387-A0E578F3E568}</x14:id>
        </ext>
      </extLst>
    </cfRule>
  </conditionalFormatting>
  <dataValidations count="5">
    <dataValidation type="list" allowBlank="1" errorTitle="Ungültiger Wert" error="Bitte einen der vorgegebenen Werte wählen." promptTitle="Zielgruppe" prompt="Wähle die Zielgruppe — alle Indikator-Spalten passen sich an." sqref="C6" xr:uid="{00000000-0002-0000-0000-000000000000}">
      <formula1>ZielgruppenListe</formula1>
      <formula2>0</formula2>
    </dataValidation>
    <dataValidation type="list" allowBlank="1" errorTitle="Ungültiger Wert" error="Bitte einen der vorgegebenen Werte wählen." promptTitle="Klassifikation" prompt="Auf eine wissenschaftliche Klassifikation einschränken — oder 'Alle'." sqref="C7" xr:uid="{00000000-0002-0000-0000-000001000000}">
      <formula1>KlassifikationsListe</formula1>
      <formula2>0</formula2>
    </dataValidation>
    <dataValidation type="list" allowBlank="1" errorTitle="Ungültiger Wert" error="Bitte einen der vorgegebenen Werte wählen." promptTitle="Kategorie" prompt="Auf eine Themenkategorie einschränken — oder 'Alle'." sqref="C8" xr:uid="{00000000-0002-0000-0000-000002000000}">
      <formula1>KategorieListe</formula1>
      <formula2>0</formula2>
    </dataValidation>
    <dataValidation type="list" allowBlank="1" errorTitle="Ungültiger Wert" error="Bitte einen der vorgegebenen Werte wählen." promptTitle="Sortieren nach" prompt="Spalte, nach der die Tabelle sortiert wird." sqref="I6" xr:uid="{00000000-0002-0000-0000-000003000000}">
      <formula1>SortFelderListe</formula1>
      <formula2>0</formula2>
    </dataValidation>
    <dataValidation type="list" allowBlank="1" errorTitle="Ungültiger Wert" error="Bitte einen der vorgegebenen Werte wählen." promptTitle="Reihenfolge" prompt="Aufsteigend oder Absteigend." sqref="I7" xr:uid="{00000000-0002-0000-0000-000004000000}">
      <formula1>ReihenfolgeListe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FEC596B-CAE4-4EBA-AC64-6F7BB33EC980}">
            <x14:dataBar axisPosition="none">
              <x14:cfvo type="num">
                <xm:f>0</xm:f>
              </x14:cfvo>
              <x14:cfvo type="num">
                <xm:f>100</xm:f>
              </x14:cfvo>
              <x14:negativeFillColor rgb="FF718096"/>
            </x14:dataBar>
          </x14:cfRule>
          <xm:sqref>E14:E55</xm:sqref>
        </x14:conditionalFormatting>
        <x14:conditionalFormatting xmlns:xm="http://schemas.microsoft.com/office/excel/2006/main">
          <x14:cfRule type="dataBar" id="{F05D5763-6028-43E6-9C2D-DBD745ED5B26}">
            <x14:dataBar axisPosition="none">
              <x14:cfvo type="num">
                <xm:f>0</xm:f>
              </x14:cfvo>
              <x14:cfvo type="num">
                <xm:f>100</xm:f>
              </x14:cfvo>
              <x14:negativeFillColor rgb="FF5FA5C8"/>
            </x14:dataBar>
          </x14:cfRule>
          <xm:sqref>F14:F55</xm:sqref>
        </x14:conditionalFormatting>
        <x14:conditionalFormatting xmlns:xm="http://schemas.microsoft.com/office/excel/2006/main">
          <x14:cfRule type="dataBar" id="{29BDFE56-4112-43BC-99F0-672216D4DAB8}">
            <x14:dataBar axisPosition="none">
              <x14:cfvo type="num">
                <xm:f>0</xm:f>
              </x14:cfvo>
              <x14:cfvo type="num">
                <xm:f>100</xm:f>
              </x14:cfvo>
              <x14:negativeFillColor rgb="FF1B7F44"/>
            </x14:dataBar>
          </x14:cfRule>
          <xm:sqref>G14:G55</xm:sqref>
        </x14:conditionalFormatting>
        <x14:conditionalFormatting xmlns:xm="http://schemas.microsoft.com/office/excel/2006/main">
          <x14:cfRule type="dataBar" id="{79C850B9-BA2B-4EFA-9D79-48C599A3605E}">
            <x14:dataBar axisPosition="none">
              <x14:cfvo type="num">
                <xm:f>0</xm:f>
              </x14:cfvo>
              <x14:cfvo type="num">
                <xm:f>100</xm:f>
              </x14:cfvo>
              <x14:negativeFillColor rgb="FFC53030"/>
            </x14:dataBar>
          </x14:cfRule>
          <xm:sqref>H14:H55</xm:sqref>
        </x14:conditionalFormatting>
        <x14:conditionalFormatting xmlns:xm="http://schemas.microsoft.com/office/excel/2006/main">
          <x14:cfRule type="dataBar" id="{D3AA6CC0-9059-449E-A387-A0E578F3E568}">
            <x14:dataBar axisPosition="none">
              <x14:cfvo type="num">
                <xm:f>0</xm:f>
              </x14:cfvo>
              <x14:cfvo type="num">
                <xm:f>100</xm:f>
              </x14:cfvo>
              <x14:negativeFillColor rgb="FFB7791F"/>
            </x14:dataBar>
          </x14:cfRule>
          <xm:sqref>I14:I55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showGridLines="0" zoomScaleNormal="100" workbookViewId="0">
      <selection activeCell="B3" sqref="B3"/>
    </sheetView>
  </sheetViews>
  <sheetFormatPr baseColWidth="10" defaultColWidth="8.7109375" defaultRowHeight="15" x14ac:dyDescent="0.25"/>
  <cols>
    <col min="1" max="1" width="38" customWidth="1"/>
    <col min="2" max="2" width="110" customWidth="1"/>
  </cols>
  <sheetData>
    <row r="1" spans="1:2" ht="31.5" customHeight="1" x14ac:dyDescent="0.25">
      <c r="A1" s="21" t="s">
        <v>24</v>
      </c>
      <c r="B1" s="21"/>
    </row>
    <row r="3" spans="1:2" ht="69.75" customHeight="1" x14ac:dyDescent="0.25">
      <c r="A3" s="10" t="s">
        <v>25</v>
      </c>
      <c r="B3" s="11" t="s">
        <v>26</v>
      </c>
    </row>
    <row r="4" spans="1:2" ht="69.75" customHeight="1" x14ac:dyDescent="0.25">
      <c r="A4" s="10" t="s">
        <v>27</v>
      </c>
      <c r="B4" s="11" t="s">
        <v>28</v>
      </c>
    </row>
    <row r="5" spans="1:2" ht="69.75" customHeight="1" x14ac:dyDescent="0.25">
      <c r="A5" s="10" t="s">
        <v>29</v>
      </c>
      <c r="B5" s="11" t="s">
        <v>30</v>
      </c>
    </row>
    <row r="6" spans="1:2" ht="69.75" customHeight="1" x14ac:dyDescent="0.25">
      <c r="A6" s="10" t="s">
        <v>31</v>
      </c>
      <c r="B6" s="11" t="s">
        <v>32</v>
      </c>
    </row>
    <row r="7" spans="1:2" ht="69.75" customHeight="1" x14ac:dyDescent="0.25">
      <c r="A7" s="10" t="s">
        <v>5</v>
      </c>
      <c r="B7" s="11" t="s">
        <v>33</v>
      </c>
    </row>
    <row r="8" spans="1:2" ht="69.75" customHeight="1" x14ac:dyDescent="0.25">
      <c r="A8" s="10" t="s">
        <v>34</v>
      </c>
      <c r="B8" s="11" t="s">
        <v>35</v>
      </c>
    </row>
    <row r="9" spans="1:2" ht="69.75" customHeight="1" x14ac:dyDescent="0.25">
      <c r="A9" s="10" t="s">
        <v>220</v>
      </c>
      <c r="B9" s="11" t="s">
        <v>36</v>
      </c>
    </row>
    <row r="10" spans="1:2" ht="69.75" customHeight="1" x14ac:dyDescent="0.25">
      <c r="A10" s="10" t="s">
        <v>37</v>
      </c>
      <c r="B10" s="11" t="s">
        <v>221</v>
      </c>
    </row>
    <row r="11" spans="1:2" ht="69.75" customHeight="1" x14ac:dyDescent="0.25">
      <c r="A11" s="10" t="s">
        <v>38</v>
      </c>
      <c r="B11" s="11" t="s">
        <v>39</v>
      </c>
    </row>
    <row r="12" spans="1:2" ht="69.75" customHeight="1" x14ac:dyDescent="0.25">
      <c r="A12" s="10" t="s">
        <v>40</v>
      </c>
      <c r="B12" s="11" t="s">
        <v>41</v>
      </c>
    </row>
    <row r="13" spans="1:2" ht="69.75" customHeight="1" x14ac:dyDescent="0.25">
      <c r="A13" s="10" t="s">
        <v>42</v>
      </c>
      <c r="B13" s="11" t="s">
        <v>43</v>
      </c>
    </row>
    <row r="14" spans="1:2" ht="69.75" customHeight="1" x14ac:dyDescent="0.25">
      <c r="A14" s="10" t="s">
        <v>44</v>
      </c>
      <c r="B14" s="11" t="s">
        <v>45</v>
      </c>
    </row>
    <row r="15" spans="1:2" ht="69.75" customHeight="1" x14ac:dyDescent="0.25">
      <c r="A15" s="10" t="s">
        <v>213</v>
      </c>
      <c r="B15" s="11" t="s">
        <v>46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showGridLines="0" zoomScaleNormal="100" workbookViewId="0"/>
  </sheetViews>
  <sheetFormatPr baseColWidth="10" defaultColWidth="8.7109375" defaultRowHeight="15" x14ac:dyDescent="0.25"/>
  <cols>
    <col min="1" max="9" width="38" customWidth="1"/>
  </cols>
  <sheetData>
    <row r="1" spans="1:9" x14ac:dyDescent="0.25">
      <c r="A1" s="12" t="s">
        <v>47</v>
      </c>
      <c r="B1" s="12" t="s">
        <v>48</v>
      </c>
      <c r="C1" s="12" t="s">
        <v>49</v>
      </c>
      <c r="D1" s="12" t="s">
        <v>50</v>
      </c>
      <c r="E1" s="12" t="s">
        <v>51</v>
      </c>
      <c r="F1" s="12" t="s">
        <v>11</v>
      </c>
      <c r="G1" s="12" t="s">
        <v>52</v>
      </c>
      <c r="H1" s="12" t="s">
        <v>9</v>
      </c>
      <c r="I1" s="12" t="s">
        <v>11</v>
      </c>
    </row>
    <row r="2" spans="1:9" x14ac:dyDescent="0.25">
      <c r="A2" t="s">
        <v>6</v>
      </c>
      <c r="B2" t="s">
        <v>10</v>
      </c>
      <c r="C2" t="s">
        <v>10</v>
      </c>
      <c r="D2" t="s">
        <v>8</v>
      </c>
      <c r="E2">
        <v>1</v>
      </c>
      <c r="F2" t="s">
        <v>12</v>
      </c>
      <c r="G2">
        <f>IFERROR(VLOOKUP(sortFeld,$D$2:$E$10,2,FALSE()),1)</f>
        <v>1</v>
      </c>
      <c r="H2" t="s">
        <v>53</v>
      </c>
      <c r="I2">
        <v>1</v>
      </c>
    </row>
    <row r="3" spans="1:9" x14ac:dyDescent="0.25">
      <c r="A3" t="s">
        <v>54</v>
      </c>
      <c r="B3" t="s">
        <v>53</v>
      </c>
      <c r="C3" t="s">
        <v>55</v>
      </c>
      <c r="D3" t="s">
        <v>17</v>
      </c>
      <c r="E3">
        <v>2</v>
      </c>
      <c r="F3" t="s">
        <v>56</v>
      </c>
      <c r="G3">
        <f>IF(sortReihen="Absteigend",-1,1)</f>
        <v>1</v>
      </c>
      <c r="H3" t="s">
        <v>57</v>
      </c>
      <c r="I3">
        <v>2</v>
      </c>
    </row>
    <row r="4" spans="1:9" x14ac:dyDescent="0.25">
      <c r="A4" t="s">
        <v>58</v>
      </c>
      <c r="B4" t="s">
        <v>57</v>
      </c>
      <c r="C4" t="s">
        <v>59</v>
      </c>
      <c r="D4" t="s">
        <v>13</v>
      </c>
      <c r="E4">
        <v>3</v>
      </c>
      <c r="H4" t="s">
        <v>60</v>
      </c>
      <c r="I4">
        <v>3</v>
      </c>
    </row>
    <row r="5" spans="1:9" x14ac:dyDescent="0.25">
      <c r="A5" t="s">
        <v>61</v>
      </c>
      <c r="B5" t="s">
        <v>60</v>
      </c>
      <c r="C5" t="s">
        <v>62</v>
      </c>
      <c r="D5" t="s">
        <v>9</v>
      </c>
      <c r="E5">
        <v>4</v>
      </c>
      <c r="H5" t="s">
        <v>63</v>
      </c>
      <c r="I5">
        <v>4</v>
      </c>
    </row>
    <row r="6" spans="1:9" x14ac:dyDescent="0.25">
      <c r="A6" t="s">
        <v>64</v>
      </c>
      <c r="B6" t="s">
        <v>63</v>
      </c>
      <c r="C6" t="s">
        <v>65</v>
      </c>
      <c r="D6" t="s">
        <v>18</v>
      </c>
      <c r="E6">
        <v>5</v>
      </c>
      <c r="H6" t="s">
        <v>66</v>
      </c>
      <c r="I6">
        <v>5</v>
      </c>
    </row>
    <row r="7" spans="1:9" x14ac:dyDescent="0.25">
      <c r="B7" t="s">
        <v>66</v>
      </c>
      <c r="C7" t="s">
        <v>67</v>
      </c>
      <c r="D7" t="s">
        <v>19</v>
      </c>
      <c r="E7">
        <v>6</v>
      </c>
    </row>
    <row r="8" spans="1:9" x14ac:dyDescent="0.25">
      <c r="C8" t="s">
        <v>68</v>
      </c>
      <c r="D8" t="s">
        <v>20</v>
      </c>
      <c r="E8">
        <v>7</v>
      </c>
    </row>
    <row r="9" spans="1:9" x14ac:dyDescent="0.25">
      <c r="C9" t="s">
        <v>69</v>
      </c>
      <c r="D9" t="s">
        <v>21</v>
      </c>
      <c r="E9">
        <v>8</v>
      </c>
    </row>
    <row r="10" spans="1:9" x14ac:dyDescent="0.25">
      <c r="C10" t="s">
        <v>70</v>
      </c>
      <c r="D10" t="s">
        <v>22</v>
      </c>
      <c r="E10">
        <v>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2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8.7109375" defaultRowHeight="15" x14ac:dyDescent="0.25"/>
  <cols>
    <col min="1" max="2" width="14" customWidth="1"/>
    <col min="3" max="3" width="32" customWidth="1"/>
    <col min="4" max="8" width="18" customWidth="1"/>
  </cols>
  <sheetData>
    <row r="1" spans="1:8" ht="21.75" customHeight="1" x14ac:dyDescent="0.25">
      <c r="A1" s="22" t="s">
        <v>71</v>
      </c>
      <c r="B1" s="22"/>
      <c r="C1" s="22"/>
      <c r="D1" s="22"/>
      <c r="E1" s="22"/>
      <c r="F1" s="22"/>
      <c r="G1" s="22"/>
      <c r="H1" s="22"/>
    </row>
    <row r="2" spans="1:8" x14ac:dyDescent="0.25">
      <c r="A2" s="12" t="s">
        <v>72</v>
      </c>
      <c r="B2" s="12" t="s">
        <v>73</v>
      </c>
      <c r="C2" s="12" t="s">
        <v>5</v>
      </c>
      <c r="D2" s="12" t="s">
        <v>18</v>
      </c>
      <c r="E2" s="12" t="s">
        <v>74</v>
      </c>
      <c r="F2" s="12" t="s">
        <v>75</v>
      </c>
      <c r="G2" s="12" t="s">
        <v>76</v>
      </c>
      <c r="H2" s="12" t="s">
        <v>77</v>
      </c>
    </row>
    <row r="3" spans="1:8" x14ac:dyDescent="0.25">
      <c r="A3">
        <v>1</v>
      </c>
      <c r="B3" t="s">
        <v>78</v>
      </c>
      <c r="C3" t="s">
        <v>6</v>
      </c>
      <c r="D3">
        <v>12.32</v>
      </c>
      <c r="E3">
        <v>52.82</v>
      </c>
      <c r="F3">
        <v>49.1</v>
      </c>
      <c r="G3">
        <v>41.49</v>
      </c>
      <c r="H3">
        <v>5.6</v>
      </c>
    </row>
    <row r="4" spans="1:8" x14ac:dyDescent="0.25">
      <c r="A4">
        <v>1</v>
      </c>
      <c r="B4" t="s">
        <v>79</v>
      </c>
      <c r="C4" t="s">
        <v>54</v>
      </c>
      <c r="D4">
        <v>20.29</v>
      </c>
      <c r="E4">
        <v>48.72</v>
      </c>
      <c r="F4">
        <v>47.29</v>
      </c>
      <c r="G4">
        <v>38.200000000000003</v>
      </c>
      <c r="H4">
        <v>8.5</v>
      </c>
    </row>
    <row r="5" spans="1:8" x14ac:dyDescent="0.25">
      <c r="A5">
        <v>1</v>
      </c>
      <c r="B5" t="s">
        <v>80</v>
      </c>
      <c r="C5" t="s">
        <v>58</v>
      </c>
      <c r="D5">
        <v>22.03</v>
      </c>
      <c r="E5">
        <v>54.17</v>
      </c>
      <c r="F5">
        <v>43.07</v>
      </c>
      <c r="G5">
        <v>46.36</v>
      </c>
    </row>
    <row r="6" spans="1:8" x14ac:dyDescent="0.25">
      <c r="A6">
        <v>1</v>
      </c>
      <c r="B6" t="s">
        <v>81</v>
      </c>
      <c r="C6" t="s">
        <v>61</v>
      </c>
      <c r="D6">
        <v>16.010000000000002</v>
      </c>
      <c r="E6">
        <v>53.47</v>
      </c>
      <c r="F6">
        <v>46.94</v>
      </c>
      <c r="G6">
        <v>43.19</v>
      </c>
    </row>
    <row r="7" spans="1:8" x14ac:dyDescent="0.25">
      <c r="A7">
        <v>1</v>
      </c>
      <c r="B7" t="s">
        <v>82</v>
      </c>
      <c r="C7" t="s">
        <v>64</v>
      </c>
      <c r="D7">
        <v>11.82</v>
      </c>
      <c r="E7">
        <v>52.46</v>
      </c>
      <c r="F7">
        <v>45.9</v>
      </c>
      <c r="G7">
        <v>42.62</v>
      </c>
    </row>
    <row r="8" spans="1:8" x14ac:dyDescent="0.25">
      <c r="A8">
        <v>2</v>
      </c>
      <c r="B8" t="s">
        <v>78</v>
      </c>
      <c r="C8" t="s">
        <v>6</v>
      </c>
      <c r="D8">
        <v>18.02</v>
      </c>
      <c r="E8">
        <v>52.63</v>
      </c>
      <c r="F8">
        <v>63.77</v>
      </c>
      <c r="G8">
        <v>31.78</v>
      </c>
      <c r="H8">
        <v>6.5</v>
      </c>
    </row>
    <row r="9" spans="1:8" x14ac:dyDescent="0.25">
      <c r="A9">
        <v>2</v>
      </c>
      <c r="B9" t="s">
        <v>79</v>
      </c>
      <c r="C9" t="s">
        <v>54</v>
      </c>
      <c r="D9">
        <v>21.26</v>
      </c>
      <c r="E9">
        <v>53.61</v>
      </c>
      <c r="F9">
        <v>66.760000000000005</v>
      </c>
      <c r="G9">
        <v>32.06</v>
      </c>
      <c r="H9">
        <v>7.7</v>
      </c>
    </row>
    <row r="10" spans="1:8" x14ac:dyDescent="0.25">
      <c r="A10">
        <v>2</v>
      </c>
      <c r="B10" t="s">
        <v>80</v>
      </c>
      <c r="C10" t="s">
        <v>58</v>
      </c>
      <c r="D10">
        <v>33.42</v>
      </c>
      <c r="E10">
        <v>61.15</v>
      </c>
      <c r="F10">
        <v>45.68</v>
      </c>
      <c r="G10">
        <v>45.96</v>
      </c>
    </row>
    <row r="11" spans="1:8" x14ac:dyDescent="0.25">
      <c r="A11">
        <v>2</v>
      </c>
      <c r="B11" t="s">
        <v>81</v>
      </c>
      <c r="C11" t="s">
        <v>61</v>
      </c>
      <c r="D11">
        <v>21.24</v>
      </c>
      <c r="E11">
        <v>60.94</v>
      </c>
      <c r="F11">
        <v>52.82</v>
      </c>
      <c r="G11">
        <v>41.04</v>
      </c>
    </row>
    <row r="12" spans="1:8" x14ac:dyDescent="0.25">
      <c r="A12">
        <v>2</v>
      </c>
      <c r="B12" t="s">
        <v>82</v>
      </c>
      <c r="C12" t="s">
        <v>64</v>
      </c>
      <c r="D12">
        <v>21.12</v>
      </c>
      <c r="E12">
        <v>49.24</v>
      </c>
      <c r="F12">
        <v>68.5</v>
      </c>
      <c r="G12">
        <v>27.83</v>
      </c>
    </row>
    <row r="13" spans="1:8" x14ac:dyDescent="0.25">
      <c r="A13">
        <v>3</v>
      </c>
      <c r="B13" t="s">
        <v>78</v>
      </c>
      <c r="C13" t="s">
        <v>6</v>
      </c>
      <c r="D13">
        <v>48.64</v>
      </c>
      <c r="E13">
        <v>76.78</v>
      </c>
      <c r="F13">
        <v>77.930000000000007</v>
      </c>
      <c r="G13">
        <v>30.43</v>
      </c>
      <c r="H13">
        <v>16.899999999999999</v>
      </c>
    </row>
    <row r="14" spans="1:8" x14ac:dyDescent="0.25">
      <c r="A14">
        <v>3</v>
      </c>
      <c r="B14" t="s">
        <v>79</v>
      </c>
      <c r="C14" t="s">
        <v>54</v>
      </c>
      <c r="D14">
        <v>46.36</v>
      </c>
      <c r="E14">
        <v>78.02</v>
      </c>
      <c r="F14">
        <v>74.75</v>
      </c>
      <c r="G14">
        <v>32.92</v>
      </c>
      <c r="H14">
        <v>17.2</v>
      </c>
    </row>
    <row r="15" spans="1:8" x14ac:dyDescent="0.25">
      <c r="A15">
        <v>3</v>
      </c>
      <c r="B15" t="s">
        <v>80</v>
      </c>
      <c r="C15" t="s">
        <v>58</v>
      </c>
      <c r="D15">
        <v>59.41</v>
      </c>
      <c r="E15">
        <v>69.58</v>
      </c>
      <c r="F15">
        <v>78.33</v>
      </c>
      <c r="G15">
        <v>27.67</v>
      </c>
    </row>
    <row r="16" spans="1:8" x14ac:dyDescent="0.25">
      <c r="A16">
        <v>3</v>
      </c>
      <c r="B16" t="s">
        <v>81</v>
      </c>
      <c r="C16" t="s">
        <v>61</v>
      </c>
      <c r="D16">
        <v>49.35</v>
      </c>
      <c r="E16">
        <v>69.760000000000005</v>
      </c>
      <c r="F16">
        <v>78.59</v>
      </c>
      <c r="G16">
        <v>27.59</v>
      </c>
    </row>
    <row r="17" spans="1:8" x14ac:dyDescent="0.25">
      <c r="A17">
        <v>3</v>
      </c>
      <c r="B17" t="s">
        <v>82</v>
      </c>
      <c r="C17" t="s">
        <v>64</v>
      </c>
      <c r="D17">
        <v>50.97</v>
      </c>
      <c r="E17">
        <v>80.41</v>
      </c>
      <c r="F17">
        <v>76.930000000000007</v>
      </c>
      <c r="G17">
        <v>32.19</v>
      </c>
    </row>
    <row r="18" spans="1:8" x14ac:dyDescent="0.25">
      <c r="A18">
        <v>4</v>
      </c>
      <c r="B18" t="s">
        <v>78</v>
      </c>
      <c r="C18" t="s">
        <v>6</v>
      </c>
      <c r="D18">
        <v>35.159999999999997</v>
      </c>
      <c r="E18">
        <v>62.1</v>
      </c>
      <c r="F18">
        <v>69.66</v>
      </c>
      <c r="G18">
        <v>27.37</v>
      </c>
      <c r="H18">
        <v>11.2</v>
      </c>
    </row>
    <row r="19" spans="1:8" x14ac:dyDescent="0.25">
      <c r="A19">
        <v>4</v>
      </c>
      <c r="B19" t="s">
        <v>79</v>
      </c>
      <c r="C19" t="s">
        <v>54</v>
      </c>
      <c r="D19">
        <v>34.58</v>
      </c>
      <c r="E19">
        <v>61.8</v>
      </c>
      <c r="F19">
        <v>61.47</v>
      </c>
      <c r="G19">
        <v>32.04</v>
      </c>
      <c r="H19">
        <v>12.5</v>
      </c>
    </row>
    <row r="20" spans="1:8" x14ac:dyDescent="0.25">
      <c r="A20">
        <v>4</v>
      </c>
      <c r="B20" t="s">
        <v>80</v>
      </c>
      <c r="C20" t="s">
        <v>58</v>
      </c>
      <c r="D20">
        <v>72.52</v>
      </c>
      <c r="E20">
        <v>75.09</v>
      </c>
      <c r="F20">
        <v>87.49</v>
      </c>
      <c r="G20">
        <v>21.98</v>
      </c>
    </row>
    <row r="21" spans="1:8" x14ac:dyDescent="0.25">
      <c r="A21">
        <v>4</v>
      </c>
      <c r="B21" t="s">
        <v>81</v>
      </c>
      <c r="C21" t="s">
        <v>61</v>
      </c>
      <c r="D21">
        <v>53.92</v>
      </c>
      <c r="E21">
        <v>67.069999999999993</v>
      </c>
      <c r="F21">
        <v>78.38</v>
      </c>
      <c r="G21">
        <v>24.48</v>
      </c>
    </row>
    <row r="22" spans="1:8" x14ac:dyDescent="0.25">
      <c r="A22">
        <v>4</v>
      </c>
      <c r="B22" t="s">
        <v>82</v>
      </c>
      <c r="C22" t="s">
        <v>64</v>
      </c>
      <c r="D22">
        <v>40.119999999999997</v>
      </c>
      <c r="E22">
        <v>65.06</v>
      </c>
      <c r="F22">
        <v>72.14</v>
      </c>
      <c r="G22">
        <v>27.18</v>
      </c>
    </row>
    <row r="23" spans="1:8" x14ac:dyDescent="0.25">
      <c r="A23">
        <v>5</v>
      </c>
      <c r="B23" t="s">
        <v>78</v>
      </c>
      <c r="C23" t="s">
        <v>6</v>
      </c>
      <c r="D23">
        <v>16.329999999999998</v>
      </c>
      <c r="E23">
        <v>68.510000000000005</v>
      </c>
      <c r="F23">
        <v>76.430000000000007</v>
      </c>
      <c r="G23">
        <v>26.37</v>
      </c>
      <c r="H23">
        <v>5.0999999999999996</v>
      </c>
    </row>
    <row r="24" spans="1:8" x14ac:dyDescent="0.25">
      <c r="A24">
        <v>5</v>
      </c>
      <c r="B24" t="s">
        <v>79</v>
      </c>
      <c r="C24" t="s">
        <v>54</v>
      </c>
      <c r="D24">
        <v>27.68</v>
      </c>
      <c r="E24">
        <v>67.58</v>
      </c>
      <c r="F24">
        <v>67.47</v>
      </c>
      <c r="G24">
        <v>31.01</v>
      </c>
      <c r="H24">
        <v>9.8000000000000007</v>
      </c>
    </row>
    <row r="25" spans="1:8" x14ac:dyDescent="0.25">
      <c r="A25">
        <v>5</v>
      </c>
      <c r="B25" t="s">
        <v>80</v>
      </c>
      <c r="C25" t="s">
        <v>58</v>
      </c>
      <c r="D25">
        <v>17.82</v>
      </c>
      <c r="E25">
        <v>54.17</v>
      </c>
      <c r="F25">
        <v>56.94</v>
      </c>
      <c r="G25">
        <v>30.83</v>
      </c>
    </row>
    <row r="26" spans="1:8" x14ac:dyDescent="0.25">
      <c r="A26">
        <v>5</v>
      </c>
      <c r="B26" t="s">
        <v>81</v>
      </c>
      <c r="C26" t="s">
        <v>61</v>
      </c>
      <c r="D26">
        <v>16.670000000000002</v>
      </c>
      <c r="E26">
        <v>67.319999999999993</v>
      </c>
      <c r="F26">
        <v>73.86</v>
      </c>
      <c r="G26">
        <v>28.1</v>
      </c>
    </row>
    <row r="27" spans="1:8" x14ac:dyDescent="0.25">
      <c r="A27">
        <v>5</v>
      </c>
      <c r="B27" t="s">
        <v>82</v>
      </c>
      <c r="C27" t="s">
        <v>64</v>
      </c>
      <c r="D27">
        <v>18.8</v>
      </c>
      <c r="E27">
        <v>64.260000000000005</v>
      </c>
      <c r="F27">
        <v>75.260000000000005</v>
      </c>
      <c r="G27">
        <v>25.36</v>
      </c>
    </row>
    <row r="28" spans="1:8" x14ac:dyDescent="0.25">
      <c r="A28">
        <v>6</v>
      </c>
      <c r="B28" t="s">
        <v>78</v>
      </c>
      <c r="C28" t="s">
        <v>6</v>
      </c>
      <c r="D28">
        <v>43.75</v>
      </c>
      <c r="E28">
        <v>77.02</v>
      </c>
      <c r="F28">
        <v>88.97</v>
      </c>
      <c r="G28">
        <v>21.93</v>
      </c>
      <c r="H28">
        <v>11.7</v>
      </c>
    </row>
    <row r="29" spans="1:8" x14ac:dyDescent="0.25">
      <c r="A29">
        <v>6</v>
      </c>
      <c r="B29" t="s">
        <v>79</v>
      </c>
      <c r="C29" t="s">
        <v>54</v>
      </c>
      <c r="D29">
        <v>48.83</v>
      </c>
      <c r="E29">
        <v>77.89</v>
      </c>
      <c r="F29">
        <v>88.2</v>
      </c>
      <c r="G29">
        <v>22.91</v>
      </c>
      <c r="H29">
        <v>13.5</v>
      </c>
    </row>
    <row r="30" spans="1:8" x14ac:dyDescent="0.25">
      <c r="A30">
        <v>6</v>
      </c>
      <c r="B30" t="s">
        <v>80</v>
      </c>
      <c r="C30" t="s">
        <v>58</v>
      </c>
      <c r="D30">
        <v>52.23</v>
      </c>
      <c r="E30">
        <v>67.61</v>
      </c>
      <c r="F30">
        <v>84.52</v>
      </c>
      <c r="G30">
        <v>21.17</v>
      </c>
    </row>
    <row r="31" spans="1:8" x14ac:dyDescent="0.25">
      <c r="A31">
        <v>6</v>
      </c>
      <c r="B31" t="s">
        <v>81</v>
      </c>
      <c r="C31" t="s">
        <v>61</v>
      </c>
      <c r="D31">
        <v>51.96</v>
      </c>
      <c r="E31">
        <v>75.260000000000005</v>
      </c>
      <c r="F31">
        <v>88.47</v>
      </c>
      <c r="G31">
        <v>21.3</v>
      </c>
    </row>
    <row r="32" spans="1:8" x14ac:dyDescent="0.25">
      <c r="A32">
        <v>6</v>
      </c>
      <c r="B32" t="s">
        <v>82</v>
      </c>
      <c r="C32" t="s">
        <v>64</v>
      </c>
      <c r="D32">
        <v>44.77</v>
      </c>
      <c r="E32">
        <v>76.19</v>
      </c>
      <c r="F32">
        <v>88.02</v>
      </c>
      <c r="G32">
        <v>22.08</v>
      </c>
    </row>
    <row r="33" spans="1:8" x14ac:dyDescent="0.25">
      <c r="A33">
        <v>7</v>
      </c>
      <c r="B33" t="s">
        <v>78</v>
      </c>
      <c r="C33" t="s">
        <v>6</v>
      </c>
      <c r="D33">
        <v>35.06</v>
      </c>
      <c r="E33">
        <v>76.489999999999995</v>
      </c>
      <c r="F33">
        <v>85.7</v>
      </c>
      <c r="G33">
        <v>24.05</v>
      </c>
      <c r="H33">
        <v>10.1</v>
      </c>
    </row>
    <row r="34" spans="1:8" x14ac:dyDescent="0.25">
      <c r="A34">
        <v>7</v>
      </c>
      <c r="B34" t="s">
        <v>79</v>
      </c>
      <c r="C34" t="s">
        <v>54</v>
      </c>
      <c r="D34">
        <v>42.85</v>
      </c>
      <c r="E34">
        <v>75.75</v>
      </c>
      <c r="F34">
        <v>81.81</v>
      </c>
      <c r="G34">
        <v>25.4</v>
      </c>
      <c r="H34">
        <v>12.9</v>
      </c>
    </row>
    <row r="35" spans="1:8" x14ac:dyDescent="0.25">
      <c r="A35">
        <v>7</v>
      </c>
      <c r="B35" t="s">
        <v>80</v>
      </c>
      <c r="C35" t="s">
        <v>58</v>
      </c>
      <c r="D35">
        <v>45.3</v>
      </c>
      <c r="E35">
        <v>77.66</v>
      </c>
      <c r="F35">
        <v>86.52</v>
      </c>
      <c r="G35">
        <v>23.66</v>
      </c>
    </row>
    <row r="36" spans="1:8" x14ac:dyDescent="0.25">
      <c r="A36">
        <v>7</v>
      </c>
      <c r="B36" t="s">
        <v>81</v>
      </c>
      <c r="C36" t="s">
        <v>61</v>
      </c>
      <c r="D36">
        <v>43.46</v>
      </c>
      <c r="E36">
        <v>76.010000000000005</v>
      </c>
      <c r="F36">
        <v>86.22</v>
      </c>
      <c r="G36">
        <v>23.28</v>
      </c>
    </row>
    <row r="37" spans="1:8" x14ac:dyDescent="0.25">
      <c r="A37">
        <v>7</v>
      </c>
      <c r="B37" t="s">
        <v>82</v>
      </c>
      <c r="C37" t="s">
        <v>64</v>
      </c>
      <c r="D37">
        <v>36.24</v>
      </c>
      <c r="E37">
        <v>80.75</v>
      </c>
      <c r="F37">
        <v>84.67</v>
      </c>
      <c r="G37">
        <v>26.13</v>
      </c>
    </row>
    <row r="38" spans="1:8" x14ac:dyDescent="0.25">
      <c r="A38">
        <v>8</v>
      </c>
      <c r="B38" t="s">
        <v>78</v>
      </c>
      <c r="C38" t="s">
        <v>6</v>
      </c>
      <c r="D38">
        <v>42.35</v>
      </c>
      <c r="E38">
        <v>76.489999999999995</v>
      </c>
      <c r="F38">
        <v>89.87</v>
      </c>
      <c r="G38">
        <v>21.16</v>
      </c>
      <c r="H38">
        <v>11</v>
      </c>
    </row>
    <row r="39" spans="1:8" x14ac:dyDescent="0.25">
      <c r="A39">
        <v>8</v>
      </c>
      <c r="B39" t="s">
        <v>79</v>
      </c>
      <c r="C39" t="s">
        <v>54</v>
      </c>
      <c r="D39">
        <v>41.83</v>
      </c>
      <c r="E39">
        <v>73.37</v>
      </c>
      <c r="F39">
        <v>85.42</v>
      </c>
      <c r="G39">
        <v>22.21</v>
      </c>
      <c r="H39">
        <v>11.3</v>
      </c>
    </row>
    <row r="40" spans="1:8" x14ac:dyDescent="0.25">
      <c r="A40">
        <v>8</v>
      </c>
      <c r="B40" t="s">
        <v>80</v>
      </c>
      <c r="C40" t="s">
        <v>58</v>
      </c>
      <c r="D40">
        <v>34.65</v>
      </c>
      <c r="E40">
        <v>68.81</v>
      </c>
      <c r="F40">
        <v>84.76</v>
      </c>
      <c r="G40">
        <v>21.95</v>
      </c>
    </row>
    <row r="41" spans="1:8" x14ac:dyDescent="0.25">
      <c r="A41">
        <v>8</v>
      </c>
      <c r="B41" t="s">
        <v>81</v>
      </c>
      <c r="C41" t="s">
        <v>61</v>
      </c>
      <c r="D41">
        <v>44.44</v>
      </c>
      <c r="E41">
        <v>72.06</v>
      </c>
      <c r="F41">
        <v>87.25</v>
      </c>
      <c r="G41">
        <v>21.23</v>
      </c>
    </row>
    <row r="42" spans="1:8" x14ac:dyDescent="0.25">
      <c r="A42">
        <v>8</v>
      </c>
      <c r="B42" t="s">
        <v>82</v>
      </c>
      <c r="C42" t="s">
        <v>64</v>
      </c>
      <c r="D42">
        <v>48.45</v>
      </c>
      <c r="E42">
        <v>81.2</v>
      </c>
      <c r="F42">
        <v>91.6</v>
      </c>
      <c r="G42">
        <v>21.33</v>
      </c>
    </row>
    <row r="43" spans="1:8" x14ac:dyDescent="0.25">
      <c r="A43">
        <v>9</v>
      </c>
      <c r="B43" t="s">
        <v>78</v>
      </c>
      <c r="C43" t="s">
        <v>6</v>
      </c>
      <c r="D43">
        <v>20.71</v>
      </c>
      <c r="E43">
        <v>66.53</v>
      </c>
      <c r="F43">
        <v>74.3</v>
      </c>
      <c r="G43">
        <v>27.58</v>
      </c>
      <c r="H43">
        <v>6.6</v>
      </c>
    </row>
    <row r="44" spans="1:8" x14ac:dyDescent="0.25">
      <c r="A44">
        <v>9</v>
      </c>
      <c r="B44" t="s">
        <v>79</v>
      </c>
      <c r="C44" t="s">
        <v>54</v>
      </c>
      <c r="D44">
        <v>26.28</v>
      </c>
      <c r="E44">
        <v>64.33</v>
      </c>
      <c r="F44">
        <v>66.75</v>
      </c>
      <c r="G44">
        <v>30.38</v>
      </c>
      <c r="H44">
        <v>9.1</v>
      </c>
    </row>
    <row r="45" spans="1:8" x14ac:dyDescent="0.25">
      <c r="A45">
        <v>9</v>
      </c>
      <c r="B45" t="s">
        <v>80</v>
      </c>
      <c r="C45" t="s">
        <v>58</v>
      </c>
      <c r="D45">
        <v>55.94</v>
      </c>
      <c r="E45">
        <v>77.430000000000007</v>
      </c>
      <c r="F45">
        <v>88.35</v>
      </c>
      <c r="G45">
        <v>22.04</v>
      </c>
    </row>
    <row r="46" spans="1:8" x14ac:dyDescent="0.25">
      <c r="A46">
        <v>9</v>
      </c>
      <c r="B46" t="s">
        <v>81</v>
      </c>
      <c r="C46" t="s">
        <v>61</v>
      </c>
      <c r="D46">
        <v>34.64</v>
      </c>
      <c r="E46">
        <v>70.75</v>
      </c>
      <c r="F46">
        <v>78.62</v>
      </c>
      <c r="G46">
        <v>25.22</v>
      </c>
    </row>
    <row r="47" spans="1:8" x14ac:dyDescent="0.25">
      <c r="A47">
        <v>9</v>
      </c>
      <c r="B47" t="s">
        <v>82</v>
      </c>
      <c r="C47" t="s">
        <v>64</v>
      </c>
      <c r="D47">
        <v>20.93</v>
      </c>
      <c r="E47">
        <v>64.8</v>
      </c>
      <c r="F47">
        <v>75.31</v>
      </c>
      <c r="G47">
        <v>26.48</v>
      </c>
    </row>
    <row r="48" spans="1:8" x14ac:dyDescent="0.25">
      <c r="A48">
        <v>10</v>
      </c>
      <c r="B48" t="s">
        <v>78</v>
      </c>
      <c r="C48" t="s">
        <v>6</v>
      </c>
      <c r="D48">
        <v>68.28</v>
      </c>
      <c r="E48">
        <v>70.260000000000005</v>
      </c>
      <c r="F48">
        <v>49.74</v>
      </c>
      <c r="G48">
        <v>46.58</v>
      </c>
      <c r="H48">
        <v>34.1</v>
      </c>
    </row>
    <row r="49" spans="1:8" x14ac:dyDescent="0.25">
      <c r="A49">
        <v>10</v>
      </c>
      <c r="B49" t="s">
        <v>79</v>
      </c>
      <c r="C49" t="s">
        <v>54</v>
      </c>
      <c r="D49">
        <v>49.01</v>
      </c>
      <c r="E49">
        <v>60.65</v>
      </c>
      <c r="F49">
        <v>55.97</v>
      </c>
      <c r="G49">
        <v>38.659999999999997</v>
      </c>
      <c r="H49">
        <v>20.8</v>
      </c>
    </row>
    <row r="50" spans="1:8" x14ac:dyDescent="0.25">
      <c r="A50">
        <v>10</v>
      </c>
      <c r="B50" t="s">
        <v>80</v>
      </c>
      <c r="C50" t="s">
        <v>58</v>
      </c>
      <c r="D50">
        <v>77.48</v>
      </c>
      <c r="E50">
        <v>71.790000000000006</v>
      </c>
      <c r="F50">
        <v>45.69</v>
      </c>
      <c r="G50">
        <v>49.64</v>
      </c>
    </row>
    <row r="51" spans="1:8" x14ac:dyDescent="0.25">
      <c r="A51">
        <v>10</v>
      </c>
      <c r="B51" t="s">
        <v>81</v>
      </c>
      <c r="C51" t="s">
        <v>61</v>
      </c>
      <c r="D51">
        <v>66.989999999999995</v>
      </c>
      <c r="E51">
        <v>66.989999999999995</v>
      </c>
      <c r="F51">
        <v>49.27</v>
      </c>
      <c r="G51">
        <v>44.85</v>
      </c>
    </row>
    <row r="52" spans="1:8" x14ac:dyDescent="0.25">
      <c r="A52">
        <v>10</v>
      </c>
      <c r="B52" t="s">
        <v>82</v>
      </c>
      <c r="C52" t="s">
        <v>64</v>
      </c>
      <c r="D52">
        <v>68.989999999999995</v>
      </c>
      <c r="E52">
        <v>69.849999999999994</v>
      </c>
      <c r="F52">
        <v>47.85</v>
      </c>
      <c r="G52">
        <v>47.47</v>
      </c>
    </row>
    <row r="53" spans="1:8" x14ac:dyDescent="0.25">
      <c r="A53">
        <v>11</v>
      </c>
      <c r="B53" t="s">
        <v>78</v>
      </c>
      <c r="C53" t="s">
        <v>6</v>
      </c>
      <c r="D53">
        <v>17.95</v>
      </c>
      <c r="E53">
        <v>60.15</v>
      </c>
      <c r="F53">
        <v>71.89</v>
      </c>
      <c r="G53">
        <v>25.78</v>
      </c>
      <c r="H53">
        <v>5.5</v>
      </c>
    </row>
    <row r="54" spans="1:8" x14ac:dyDescent="0.25">
      <c r="A54">
        <v>11</v>
      </c>
      <c r="B54" t="s">
        <v>79</v>
      </c>
      <c r="C54" t="s">
        <v>54</v>
      </c>
      <c r="D54">
        <v>36.43</v>
      </c>
      <c r="E54">
        <v>61.73</v>
      </c>
      <c r="F54">
        <v>72.849999999999994</v>
      </c>
      <c r="G54">
        <v>26.06</v>
      </c>
      <c r="H54">
        <v>11.2</v>
      </c>
    </row>
    <row r="55" spans="1:8" x14ac:dyDescent="0.25">
      <c r="A55">
        <v>11</v>
      </c>
      <c r="B55" t="s">
        <v>80</v>
      </c>
      <c r="C55" t="s">
        <v>58</v>
      </c>
      <c r="D55">
        <v>18.559999999999999</v>
      </c>
      <c r="E55">
        <v>43.11</v>
      </c>
      <c r="F55">
        <v>53.33</v>
      </c>
      <c r="G55">
        <v>29.16</v>
      </c>
    </row>
    <row r="56" spans="1:8" x14ac:dyDescent="0.25">
      <c r="A56">
        <v>11</v>
      </c>
      <c r="B56" t="s">
        <v>81</v>
      </c>
      <c r="C56" t="s">
        <v>61</v>
      </c>
      <c r="D56">
        <v>32.68</v>
      </c>
      <c r="E56">
        <v>58.33</v>
      </c>
      <c r="F56">
        <v>67.33</v>
      </c>
      <c r="G56">
        <v>28.07</v>
      </c>
    </row>
    <row r="57" spans="1:8" x14ac:dyDescent="0.25">
      <c r="A57">
        <v>11</v>
      </c>
      <c r="B57" t="s">
        <v>82</v>
      </c>
      <c r="C57" t="s">
        <v>64</v>
      </c>
      <c r="D57">
        <v>18.600000000000001</v>
      </c>
      <c r="E57">
        <v>55.21</v>
      </c>
      <c r="F57">
        <v>71.87</v>
      </c>
      <c r="G57">
        <v>23.47</v>
      </c>
    </row>
    <row r="58" spans="1:8" x14ac:dyDescent="0.25">
      <c r="A58">
        <v>12</v>
      </c>
      <c r="B58" t="s">
        <v>78</v>
      </c>
      <c r="C58" t="s">
        <v>6</v>
      </c>
      <c r="D58">
        <v>23.28</v>
      </c>
      <c r="E58">
        <v>69.36</v>
      </c>
    </row>
    <row r="59" spans="1:8" x14ac:dyDescent="0.25">
      <c r="A59">
        <v>12</v>
      </c>
      <c r="B59" t="s">
        <v>79</v>
      </c>
      <c r="C59" t="s">
        <v>54</v>
      </c>
      <c r="D59">
        <v>17.239999999999998</v>
      </c>
      <c r="E59">
        <v>58.67</v>
      </c>
    </row>
    <row r="60" spans="1:8" x14ac:dyDescent="0.25">
      <c r="A60">
        <v>12</v>
      </c>
      <c r="B60" t="s">
        <v>80</v>
      </c>
      <c r="C60" t="s">
        <v>58</v>
      </c>
      <c r="D60">
        <v>43.07</v>
      </c>
      <c r="E60">
        <v>70.31</v>
      </c>
    </row>
    <row r="61" spans="1:8" x14ac:dyDescent="0.25">
      <c r="A61">
        <v>12</v>
      </c>
      <c r="B61" t="s">
        <v>81</v>
      </c>
      <c r="C61" t="s">
        <v>61</v>
      </c>
      <c r="D61">
        <v>24.51</v>
      </c>
      <c r="E61">
        <v>62.22</v>
      </c>
    </row>
    <row r="62" spans="1:8" x14ac:dyDescent="0.25">
      <c r="A62">
        <v>12</v>
      </c>
      <c r="B62" t="s">
        <v>82</v>
      </c>
      <c r="C62" t="s">
        <v>64</v>
      </c>
      <c r="D62">
        <v>26.74</v>
      </c>
      <c r="E62">
        <v>69.569999999999993</v>
      </c>
    </row>
    <row r="63" spans="1:8" x14ac:dyDescent="0.25">
      <c r="A63">
        <v>13</v>
      </c>
      <c r="B63" t="s">
        <v>78</v>
      </c>
      <c r="C63" t="s">
        <v>6</v>
      </c>
      <c r="D63">
        <v>28.64</v>
      </c>
      <c r="E63">
        <v>59.71</v>
      </c>
      <c r="F63">
        <v>78.319999999999993</v>
      </c>
      <c r="G63">
        <v>22.81</v>
      </c>
      <c r="H63">
        <v>7.9</v>
      </c>
    </row>
    <row r="64" spans="1:8" x14ac:dyDescent="0.25">
      <c r="A64">
        <v>13</v>
      </c>
      <c r="B64" t="s">
        <v>79</v>
      </c>
      <c r="C64" t="s">
        <v>54</v>
      </c>
      <c r="D64">
        <v>17.7</v>
      </c>
      <c r="E64">
        <v>56.4</v>
      </c>
      <c r="F64">
        <v>69.459999999999994</v>
      </c>
      <c r="G64">
        <v>25.72</v>
      </c>
      <c r="H64">
        <v>5.4</v>
      </c>
    </row>
    <row r="65" spans="1:8" x14ac:dyDescent="0.25">
      <c r="A65">
        <v>13</v>
      </c>
      <c r="B65" t="s">
        <v>80</v>
      </c>
      <c r="C65" t="s">
        <v>58</v>
      </c>
      <c r="D65">
        <v>48.02</v>
      </c>
      <c r="E65">
        <v>60.79</v>
      </c>
      <c r="F65">
        <v>88.14</v>
      </c>
      <c r="G65">
        <v>17.72</v>
      </c>
    </row>
    <row r="66" spans="1:8" x14ac:dyDescent="0.25">
      <c r="A66">
        <v>13</v>
      </c>
      <c r="B66" t="s">
        <v>81</v>
      </c>
      <c r="C66" t="s">
        <v>61</v>
      </c>
      <c r="D66">
        <v>33.659999999999997</v>
      </c>
      <c r="E66">
        <v>47.25</v>
      </c>
      <c r="F66">
        <v>78.319999999999993</v>
      </c>
      <c r="G66">
        <v>18.96</v>
      </c>
    </row>
    <row r="67" spans="1:8" x14ac:dyDescent="0.25">
      <c r="A67">
        <v>13</v>
      </c>
      <c r="B67" t="s">
        <v>82</v>
      </c>
      <c r="C67" t="s">
        <v>64</v>
      </c>
      <c r="D67">
        <v>32.56</v>
      </c>
      <c r="E67">
        <v>56.35</v>
      </c>
      <c r="F67">
        <v>81.55</v>
      </c>
      <c r="G67">
        <v>20.239999999999998</v>
      </c>
    </row>
    <row r="68" spans="1:8" x14ac:dyDescent="0.25">
      <c r="A68">
        <v>14</v>
      </c>
      <c r="B68" t="s">
        <v>78</v>
      </c>
      <c r="C68" t="s">
        <v>6</v>
      </c>
      <c r="D68">
        <v>14.96</v>
      </c>
      <c r="E68">
        <v>75.94</v>
      </c>
      <c r="F68">
        <v>76.209999999999994</v>
      </c>
      <c r="G68">
        <v>29.92</v>
      </c>
      <c r="H68">
        <v>5.0999999999999996</v>
      </c>
    </row>
    <row r="69" spans="1:8" x14ac:dyDescent="0.25">
      <c r="A69">
        <v>14</v>
      </c>
      <c r="B69" t="s">
        <v>79</v>
      </c>
      <c r="C69" t="s">
        <v>54</v>
      </c>
      <c r="D69">
        <v>33.97</v>
      </c>
      <c r="E69">
        <v>73.64</v>
      </c>
      <c r="F69">
        <v>75.930000000000007</v>
      </c>
      <c r="G69">
        <v>28.67</v>
      </c>
      <c r="H69">
        <v>11.3</v>
      </c>
    </row>
    <row r="70" spans="1:8" x14ac:dyDescent="0.25">
      <c r="A70">
        <v>14</v>
      </c>
      <c r="B70" t="s">
        <v>80</v>
      </c>
      <c r="C70" t="s">
        <v>58</v>
      </c>
      <c r="D70">
        <v>18.32</v>
      </c>
      <c r="E70">
        <v>63.06</v>
      </c>
      <c r="F70">
        <v>63.96</v>
      </c>
      <c r="G70">
        <v>31.53</v>
      </c>
    </row>
    <row r="71" spans="1:8" x14ac:dyDescent="0.25">
      <c r="A71">
        <v>14</v>
      </c>
      <c r="B71" t="s">
        <v>81</v>
      </c>
      <c r="C71" t="s">
        <v>61</v>
      </c>
      <c r="D71">
        <v>18.3</v>
      </c>
      <c r="E71">
        <v>75</v>
      </c>
      <c r="F71">
        <v>69.64</v>
      </c>
      <c r="G71">
        <v>33.81</v>
      </c>
    </row>
    <row r="72" spans="1:8" x14ac:dyDescent="0.25">
      <c r="A72">
        <v>14</v>
      </c>
      <c r="B72" t="s">
        <v>82</v>
      </c>
      <c r="C72" t="s">
        <v>64</v>
      </c>
      <c r="D72">
        <v>16.670000000000002</v>
      </c>
      <c r="E72">
        <v>74.81</v>
      </c>
      <c r="F72">
        <v>71.319999999999993</v>
      </c>
      <c r="G72">
        <v>32.25</v>
      </c>
    </row>
    <row r="73" spans="1:8" x14ac:dyDescent="0.25">
      <c r="A73">
        <v>15</v>
      </c>
      <c r="B73" t="s">
        <v>78</v>
      </c>
      <c r="C73" t="s">
        <v>6</v>
      </c>
      <c r="D73">
        <v>16.03</v>
      </c>
      <c r="E73">
        <v>69.73</v>
      </c>
      <c r="F73">
        <v>78.8</v>
      </c>
      <c r="G73">
        <v>25.72</v>
      </c>
      <c r="H73">
        <v>4.9000000000000004</v>
      </c>
    </row>
    <row r="74" spans="1:8" x14ac:dyDescent="0.25">
      <c r="A74">
        <v>15</v>
      </c>
      <c r="B74" t="s">
        <v>79</v>
      </c>
      <c r="C74" t="s">
        <v>54</v>
      </c>
      <c r="D74">
        <v>28.9</v>
      </c>
      <c r="E74">
        <v>72.47</v>
      </c>
      <c r="F74">
        <v>73.91</v>
      </c>
      <c r="G74">
        <v>29.8</v>
      </c>
      <c r="H74">
        <v>9.9</v>
      </c>
    </row>
    <row r="75" spans="1:8" x14ac:dyDescent="0.25">
      <c r="A75">
        <v>15</v>
      </c>
      <c r="B75" t="s">
        <v>80</v>
      </c>
      <c r="C75" t="s">
        <v>58</v>
      </c>
      <c r="D75">
        <v>30.45</v>
      </c>
      <c r="E75">
        <v>59.35</v>
      </c>
      <c r="F75">
        <v>72.09</v>
      </c>
      <c r="G75">
        <v>26.45</v>
      </c>
    </row>
    <row r="76" spans="1:8" x14ac:dyDescent="0.25">
      <c r="A76">
        <v>15</v>
      </c>
      <c r="B76" t="s">
        <v>81</v>
      </c>
      <c r="C76" t="s">
        <v>61</v>
      </c>
      <c r="D76">
        <v>21.24</v>
      </c>
      <c r="E76">
        <v>71.28</v>
      </c>
      <c r="F76">
        <v>76.92</v>
      </c>
      <c r="G76">
        <v>27.38</v>
      </c>
    </row>
    <row r="77" spans="1:8" x14ac:dyDescent="0.25">
      <c r="A77">
        <v>15</v>
      </c>
      <c r="B77" t="s">
        <v>82</v>
      </c>
      <c r="C77" t="s">
        <v>64</v>
      </c>
      <c r="D77">
        <v>18.22</v>
      </c>
      <c r="E77">
        <v>67.73</v>
      </c>
      <c r="F77">
        <v>76.599999999999994</v>
      </c>
      <c r="G77">
        <v>27.09</v>
      </c>
    </row>
    <row r="78" spans="1:8" x14ac:dyDescent="0.25">
      <c r="A78">
        <v>16</v>
      </c>
      <c r="B78" t="s">
        <v>78</v>
      </c>
      <c r="C78" t="s">
        <v>6</v>
      </c>
      <c r="D78">
        <v>10.119999999999999</v>
      </c>
      <c r="E78">
        <v>72.33</v>
      </c>
      <c r="F78">
        <v>73.59</v>
      </c>
      <c r="G78">
        <v>29.95</v>
      </c>
      <c r="H78">
        <v>3.5</v>
      </c>
    </row>
    <row r="79" spans="1:8" x14ac:dyDescent="0.25">
      <c r="A79">
        <v>16</v>
      </c>
      <c r="B79" t="s">
        <v>79</v>
      </c>
      <c r="C79" t="s">
        <v>54</v>
      </c>
      <c r="D79">
        <v>27.89</v>
      </c>
      <c r="E79">
        <v>79.08</v>
      </c>
      <c r="F79">
        <v>77.260000000000005</v>
      </c>
      <c r="G79">
        <v>29.64</v>
      </c>
      <c r="H79">
        <v>9.5</v>
      </c>
    </row>
    <row r="80" spans="1:8" x14ac:dyDescent="0.25">
      <c r="A80">
        <v>16</v>
      </c>
      <c r="B80" t="s">
        <v>80</v>
      </c>
      <c r="C80" t="s">
        <v>58</v>
      </c>
      <c r="D80">
        <v>14.85</v>
      </c>
      <c r="E80">
        <v>65.56</v>
      </c>
      <c r="F80">
        <v>65</v>
      </c>
      <c r="G80">
        <v>32.89</v>
      </c>
    </row>
    <row r="81" spans="1:8" x14ac:dyDescent="0.25">
      <c r="A81">
        <v>16</v>
      </c>
      <c r="B81" t="s">
        <v>81</v>
      </c>
      <c r="C81" t="s">
        <v>61</v>
      </c>
      <c r="D81">
        <v>15.36</v>
      </c>
      <c r="E81">
        <v>68.790000000000006</v>
      </c>
      <c r="F81">
        <v>70.209999999999994</v>
      </c>
      <c r="G81">
        <v>30.78</v>
      </c>
    </row>
    <row r="82" spans="1:8" x14ac:dyDescent="0.25">
      <c r="A82">
        <v>16</v>
      </c>
      <c r="B82" t="s">
        <v>82</v>
      </c>
      <c r="C82" t="s">
        <v>64</v>
      </c>
      <c r="D82">
        <v>12.6</v>
      </c>
      <c r="E82">
        <v>73.33</v>
      </c>
      <c r="F82">
        <v>68.209999999999994</v>
      </c>
      <c r="G82">
        <v>33.950000000000003</v>
      </c>
    </row>
    <row r="83" spans="1:8" x14ac:dyDescent="0.25">
      <c r="A83">
        <v>17</v>
      </c>
      <c r="B83" t="s">
        <v>78</v>
      </c>
      <c r="C83" t="s">
        <v>6</v>
      </c>
      <c r="D83">
        <v>5.55</v>
      </c>
      <c r="E83">
        <v>48.94</v>
      </c>
    </row>
    <row r="84" spans="1:8" x14ac:dyDescent="0.25">
      <c r="A84">
        <v>17</v>
      </c>
      <c r="B84" t="s">
        <v>79</v>
      </c>
      <c r="C84" t="s">
        <v>54</v>
      </c>
      <c r="D84">
        <v>13.47</v>
      </c>
      <c r="E84">
        <v>45.48</v>
      </c>
    </row>
    <row r="85" spans="1:8" x14ac:dyDescent="0.25">
      <c r="A85">
        <v>17</v>
      </c>
      <c r="B85" t="s">
        <v>80</v>
      </c>
      <c r="C85" t="s">
        <v>58</v>
      </c>
      <c r="D85">
        <v>11.39</v>
      </c>
      <c r="E85">
        <v>52.9</v>
      </c>
    </row>
    <row r="86" spans="1:8" x14ac:dyDescent="0.25">
      <c r="A86">
        <v>17</v>
      </c>
      <c r="B86" t="s">
        <v>81</v>
      </c>
      <c r="C86" t="s">
        <v>61</v>
      </c>
      <c r="D86">
        <v>5.56</v>
      </c>
      <c r="E86">
        <v>58.82</v>
      </c>
    </row>
    <row r="87" spans="1:8" x14ac:dyDescent="0.25">
      <c r="A87">
        <v>17</v>
      </c>
      <c r="B87" t="s">
        <v>82</v>
      </c>
      <c r="C87" t="s">
        <v>64</v>
      </c>
      <c r="D87">
        <v>6.59</v>
      </c>
      <c r="E87">
        <v>50</v>
      </c>
    </row>
    <row r="88" spans="1:8" x14ac:dyDescent="0.25">
      <c r="A88">
        <v>18</v>
      </c>
      <c r="B88" t="s">
        <v>78</v>
      </c>
      <c r="C88" t="s">
        <v>6</v>
      </c>
      <c r="D88">
        <v>38.630000000000003</v>
      </c>
      <c r="E88">
        <v>61.87</v>
      </c>
      <c r="F88">
        <v>56.37</v>
      </c>
      <c r="G88">
        <v>39.33</v>
      </c>
      <c r="H88">
        <v>16.7</v>
      </c>
    </row>
    <row r="89" spans="1:8" x14ac:dyDescent="0.25">
      <c r="A89">
        <v>18</v>
      </c>
      <c r="B89" t="s">
        <v>79</v>
      </c>
      <c r="C89" t="s">
        <v>54</v>
      </c>
      <c r="D89">
        <v>30.93</v>
      </c>
      <c r="E89">
        <v>55.78</v>
      </c>
      <c r="F89">
        <v>59.87</v>
      </c>
      <c r="G89">
        <v>34.82</v>
      </c>
      <c r="H89">
        <v>12</v>
      </c>
    </row>
    <row r="90" spans="1:8" x14ac:dyDescent="0.25">
      <c r="A90">
        <v>18</v>
      </c>
      <c r="B90" t="s">
        <v>80</v>
      </c>
      <c r="C90" t="s">
        <v>58</v>
      </c>
      <c r="D90">
        <v>70.540000000000006</v>
      </c>
      <c r="E90">
        <v>74.88</v>
      </c>
      <c r="F90">
        <v>46.08</v>
      </c>
      <c r="G90">
        <v>51.06</v>
      </c>
    </row>
    <row r="91" spans="1:8" x14ac:dyDescent="0.25">
      <c r="A91">
        <v>18</v>
      </c>
      <c r="B91" t="s">
        <v>81</v>
      </c>
      <c r="C91" t="s">
        <v>61</v>
      </c>
      <c r="D91">
        <v>54.25</v>
      </c>
      <c r="E91">
        <v>61.65</v>
      </c>
      <c r="F91">
        <v>55.42</v>
      </c>
      <c r="G91">
        <v>39.479999999999997</v>
      </c>
    </row>
    <row r="92" spans="1:8" x14ac:dyDescent="0.25">
      <c r="A92">
        <v>18</v>
      </c>
      <c r="B92" t="s">
        <v>82</v>
      </c>
      <c r="C92" t="s">
        <v>64</v>
      </c>
      <c r="D92">
        <v>44.57</v>
      </c>
      <c r="E92">
        <v>62.9</v>
      </c>
      <c r="F92">
        <v>53.48</v>
      </c>
      <c r="G92">
        <v>41.19</v>
      </c>
    </row>
    <row r="93" spans="1:8" x14ac:dyDescent="0.25">
      <c r="A93">
        <v>19</v>
      </c>
      <c r="B93" t="s">
        <v>78</v>
      </c>
      <c r="C93" t="s">
        <v>6</v>
      </c>
      <c r="D93">
        <v>60.56</v>
      </c>
      <c r="E93">
        <v>71.83</v>
      </c>
      <c r="F93">
        <v>87.56</v>
      </c>
      <c r="G93">
        <v>21.45</v>
      </c>
      <c r="H93">
        <v>16</v>
      </c>
    </row>
    <row r="94" spans="1:8" x14ac:dyDescent="0.25">
      <c r="A94">
        <v>19</v>
      </c>
      <c r="B94" t="s">
        <v>79</v>
      </c>
      <c r="C94" t="s">
        <v>54</v>
      </c>
      <c r="D94">
        <v>56.52</v>
      </c>
      <c r="E94">
        <v>69.989999999999995</v>
      </c>
      <c r="F94">
        <v>88.1</v>
      </c>
      <c r="G94">
        <v>20.67</v>
      </c>
      <c r="H94">
        <v>14.5</v>
      </c>
    </row>
    <row r="95" spans="1:8" x14ac:dyDescent="0.25">
      <c r="A95">
        <v>19</v>
      </c>
      <c r="B95" t="s">
        <v>80</v>
      </c>
      <c r="C95" t="s">
        <v>58</v>
      </c>
      <c r="D95">
        <v>59.65</v>
      </c>
      <c r="E95">
        <v>67.08</v>
      </c>
      <c r="F95">
        <v>84.37</v>
      </c>
      <c r="G95">
        <v>22.16</v>
      </c>
    </row>
    <row r="96" spans="1:8" x14ac:dyDescent="0.25">
      <c r="A96">
        <v>19</v>
      </c>
      <c r="B96" t="s">
        <v>81</v>
      </c>
      <c r="C96" t="s">
        <v>61</v>
      </c>
      <c r="D96">
        <v>62.42</v>
      </c>
      <c r="E96">
        <v>71.2</v>
      </c>
      <c r="F96">
        <v>87.43</v>
      </c>
      <c r="G96">
        <v>21.08</v>
      </c>
    </row>
    <row r="97" spans="1:8" x14ac:dyDescent="0.25">
      <c r="A97">
        <v>19</v>
      </c>
      <c r="B97" t="s">
        <v>82</v>
      </c>
      <c r="C97" t="s">
        <v>64</v>
      </c>
      <c r="D97">
        <v>64.150000000000006</v>
      </c>
      <c r="E97">
        <v>71.7</v>
      </c>
      <c r="F97">
        <v>89.63</v>
      </c>
      <c r="G97">
        <v>20.260000000000002</v>
      </c>
    </row>
    <row r="98" spans="1:8" x14ac:dyDescent="0.25">
      <c r="A98">
        <v>20</v>
      </c>
      <c r="B98" t="s">
        <v>78</v>
      </c>
      <c r="C98" t="s">
        <v>6</v>
      </c>
      <c r="D98">
        <v>44.28</v>
      </c>
      <c r="E98">
        <v>71.41</v>
      </c>
      <c r="F98">
        <v>83.34</v>
      </c>
      <c r="G98">
        <v>23.88</v>
      </c>
      <c r="H98">
        <v>12.7</v>
      </c>
    </row>
    <row r="99" spans="1:8" x14ac:dyDescent="0.25">
      <c r="A99">
        <v>20</v>
      </c>
      <c r="B99" t="s">
        <v>79</v>
      </c>
      <c r="C99" t="s">
        <v>54</v>
      </c>
      <c r="D99">
        <v>45.64</v>
      </c>
      <c r="E99">
        <v>72.08</v>
      </c>
      <c r="F99">
        <v>79.63</v>
      </c>
      <c r="G99">
        <v>25.92</v>
      </c>
      <c r="H99">
        <v>13.9</v>
      </c>
    </row>
    <row r="100" spans="1:8" x14ac:dyDescent="0.25">
      <c r="A100">
        <v>20</v>
      </c>
      <c r="B100" t="s">
        <v>80</v>
      </c>
      <c r="C100" t="s">
        <v>58</v>
      </c>
      <c r="D100">
        <v>46.78</v>
      </c>
      <c r="E100">
        <v>57.75</v>
      </c>
      <c r="F100">
        <v>73.02</v>
      </c>
      <c r="G100">
        <v>25.53</v>
      </c>
    </row>
    <row r="101" spans="1:8" x14ac:dyDescent="0.25">
      <c r="A101">
        <v>20</v>
      </c>
      <c r="B101" t="s">
        <v>81</v>
      </c>
      <c r="C101" t="s">
        <v>61</v>
      </c>
      <c r="D101">
        <v>50.33</v>
      </c>
      <c r="E101">
        <v>71.86</v>
      </c>
      <c r="F101">
        <v>81.39</v>
      </c>
      <c r="G101">
        <v>25.28</v>
      </c>
    </row>
    <row r="102" spans="1:8" x14ac:dyDescent="0.25">
      <c r="A102">
        <v>20</v>
      </c>
      <c r="B102" t="s">
        <v>82</v>
      </c>
      <c r="C102" t="s">
        <v>64</v>
      </c>
      <c r="D102">
        <v>46.71</v>
      </c>
      <c r="E102">
        <v>71.81</v>
      </c>
      <c r="F102">
        <v>84.37</v>
      </c>
      <c r="G102">
        <v>23.11</v>
      </c>
    </row>
    <row r="103" spans="1:8" x14ac:dyDescent="0.25">
      <c r="A103">
        <v>21</v>
      </c>
      <c r="B103" t="s">
        <v>78</v>
      </c>
      <c r="C103" t="s">
        <v>6</v>
      </c>
      <c r="D103">
        <v>64.45</v>
      </c>
      <c r="E103">
        <v>82.84</v>
      </c>
      <c r="F103">
        <v>91.71</v>
      </c>
      <c r="G103">
        <v>21.4</v>
      </c>
      <c r="H103">
        <v>17</v>
      </c>
    </row>
    <row r="104" spans="1:8" x14ac:dyDescent="0.25">
      <c r="A104">
        <v>21</v>
      </c>
      <c r="B104" t="s">
        <v>79</v>
      </c>
      <c r="C104" t="s">
        <v>54</v>
      </c>
      <c r="D104">
        <v>53.18</v>
      </c>
      <c r="E104">
        <v>82.66</v>
      </c>
      <c r="F104">
        <v>89.26</v>
      </c>
      <c r="G104">
        <v>22.83</v>
      </c>
      <c r="H104">
        <v>14.7</v>
      </c>
    </row>
    <row r="105" spans="1:8" x14ac:dyDescent="0.25">
      <c r="A105">
        <v>21</v>
      </c>
      <c r="B105" t="s">
        <v>80</v>
      </c>
      <c r="C105" t="s">
        <v>58</v>
      </c>
      <c r="D105">
        <v>58.42</v>
      </c>
      <c r="E105">
        <v>74.010000000000005</v>
      </c>
      <c r="F105">
        <v>81.92</v>
      </c>
      <c r="G105">
        <v>24.6</v>
      </c>
    </row>
    <row r="106" spans="1:8" x14ac:dyDescent="0.25">
      <c r="A106">
        <v>21</v>
      </c>
      <c r="B106" t="s">
        <v>81</v>
      </c>
      <c r="C106" t="s">
        <v>61</v>
      </c>
      <c r="D106">
        <v>57.52</v>
      </c>
      <c r="E106">
        <v>77.650000000000006</v>
      </c>
      <c r="F106">
        <v>88.64</v>
      </c>
      <c r="G106">
        <v>21.25</v>
      </c>
    </row>
    <row r="107" spans="1:8" x14ac:dyDescent="0.25">
      <c r="A107">
        <v>21</v>
      </c>
      <c r="B107" t="s">
        <v>82</v>
      </c>
      <c r="C107" t="s">
        <v>64</v>
      </c>
      <c r="D107">
        <v>65.89</v>
      </c>
      <c r="E107">
        <v>85</v>
      </c>
      <c r="F107">
        <v>91.18</v>
      </c>
      <c r="G107">
        <v>22.31</v>
      </c>
    </row>
    <row r="108" spans="1:8" x14ac:dyDescent="0.25">
      <c r="A108">
        <v>22</v>
      </c>
      <c r="B108" t="s">
        <v>78</v>
      </c>
      <c r="C108" t="s">
        <v>6</v>
      </c>
      <c r="D108">
        <v>58.07</v>
      </c>
      <c r="E108">
        <v>66.83</v>
      </c>
      <c r="F108">
        <v>51.65</v>
      </c>
      <c r="G108">
        <v>44.41</v>
      </c>
      <c r="H108">
        <v>27.8</v>
      </c>
    </row>
    <row r="109" spans="1:8" x14ac:dyDescent="0.25">
      <c r="A109">
        <v>22</v>
      </c>
      <c r="B109" t="s">
        <v>79</v>
      </c>
      <c r="C109" t="s">
        <v>54</v>
      </c>
      <c r="D109">
        <v>52.34</v>
      </c>
      <c r="E109">
        <v>58.75</v>
      </c>
      <c r="F109">
        <v>55.28</v>
      </c>
      <c r="G109">
        <v>37.69</v>
      </c>
      <c r="H109">
        <v>21.8</v>
      </c>
    </row>
    <row r="110" spans="1:8" x14ac:dyDescent="0.25">
      <c r="A110">
        <v>22</v>
      </c>
      <c r="B110" t="s">
        <v>80</v>
      </c>
      <c r="C110" t="s">
        <v>58</v>
      </c>
      <c r="D110">
        <v>51.98</v>
      </c>
      <c r="E110">
        <v>37.299999999999997</v>
      </c>
      <c r="F110">
        <v>69.84</v>
      </c>
      <c r="G110">
        <v>21.87</v>
      </c>
    </row>
    <row r="111" spans="1:8" x14ac:dyDescent="0.25">
      <c r="A111">
        <v>22</v>
      </c>
      <c r="B111" t="s">
        <v>81</v>
      </c>
      <c r="C111" t="s">
        <v>61</v>
      </c>
      <c r="D111">
        <v>56.21</v>
      </c>
      <c r="E111">
        <v>55.81</v>
      </c>
      <c r="F111">
        <v>62.6</v>
      </c>
      <c r="G111">
        <v>33.99</v>
      </c>
    </row>
    <row r="112" spans="1:8" x14ac:dyDescent="0.25">
      <c r="A112">
        <v>22</v>
      </c>
      <c r="B112" t="s">
        <v>82</v>
      </c>
      <c r="C112" t="s">
        <v>64</v>
      </c>
      <c r="D112">
        <v>63.57</v>
      </c>
      <c r="E112">
        <v>65.34</v>
      </c>
      <c r="F112">
        <v>51.32</v>
      </c>
      <c r="G112">
        <v>44.14</v>
      </c>
    </row>
    <row r="113" spans="1:8" x14ac:dyDescent="0.25">
      <c r="A113">
        <v>23</v>
      </c>
      <c r="B113" t="s">
        <v>78</v>
      </c>
      <c r="C113" t="s">
        <v>6</v>
      </c>
      <c r="D113">
        <v>16.43</v>
      </c>
      <c r="E113">
        <v>58.35</v>
      </c>
      <c r="F113">
        <v>63.75</v>
      </c>
      <c r="G113">
        <v>33.68</v>
      </c>
      <c r="H113">
        <v>6.2</v>
      </c>
    </row>
    <row r="114" spans="1:8" x14ac:dyDescent="0.25">
      <c r="A114">
        <v>23</v>
      </c>
      <c r="B114" t="s">
        <v>79</v>
      </c>
      <c r="C114" t="s">
        <v>54</v>
      </c>
      <c r="D114">
        <v>17.809999999999999</v>
      </c>
      <c r="E114">
        <v>63.48</v>
      </c>
      <c r="F114">
        <v>63.19</v>
      </c>
      <c r="G114">
        <v>35.36</v>
      </c>
      <c r="H114">
        <v>7</v>
      </c>
    </row>
    <row r="115" spans="1:8" x14ac:dyDescent="0.25">
      <c r="A115">
        <v>23</v>
      </c>
      <c r="B115" t="s">
        <v>80</v>
      </c>
      <c r="C115" t="s">
        <v>58</v>
      </c>
      <c r="D115">
        <v>31.44</v>
      </c>
      <c r="E115">
        <v>70.87</v>
      </c>
      <c r="F115">
        <v>45.67</v>
      </c>
      <c r="G115">
        <v>49.92</v>
      </c>
    </row>
    <row r="116" spans="1:8" x14ac:dyDescent="0.25">
      <c r="A116">
        <v>23</v>
      </c>
      <c r="B116" t="s">
        <v>81</v>
      </c>
      <c r="C116" t="s">
        <v>61</v>
      </c>
      <c r="D116">
        <v>16.989999999999998</v>
      </c>
      <c r="E116">
        <v>62.18</v>
      </c>
      <c r="F116">
        <v>64.099999999999994</v>
      </c>
      <c r="G116">
        <v>36.03</v>
      </c>
    </row>
    <row r="117" spans="1:8" x14ac:dyDescent="0.25">
      <c r="A117">
        <v>23</v>
      </c>
      <c r="B117" t="s">
        <v>82</v>
      </c>
      <c r="C117" t="s">
        <v>64</v>
      </c>
      <c r="D117">
        <v>16.47</v>
      </c>
      <c r="E117">
        <v>69.02</v>
      </c>
      <c r="F117">
        <v>61.18</v>
      </c>
      <c r="G117">
        <v>38.75</v>
      </c>
    </row>
    <row r="118" spans="1:8" x14ac:dyDescent="0.25">
      <c r="A118">
        <v>24</v>
      </c>
      <c r="B118" t="s">
        <v>78</v>
      </c>
      <c r="C118" t="s">
        <v>6</v>
      </c>
      <c r="D118">
        <v>39.06</v>
      </c>
      <c r="E118">
        <v>69.599999999999994</v>
      </c>
      <c r="F118">
        <v>74.25</v>
      </c>
      <c r="G118">
        <v>28.48</v>
      </c>
      <c r="H118">
        <v>12.9</v>
      </c>
    </row>
    <row r="119" spans="1:8" x14ac:dyDescent="0.25">
      <c r="A119">
        <v>24</v>
      </c>
      <c r="B119" t="s">
        <v>79</v>
      </c>
      <c r="C119" t="s">
        <v>54</v>
      </c>
      <c r="D119">
        <v>40.89</v>
      </c>
      <c r="E119">
        <v>71.739999999999995</v>
      </c>
      <c r="F119">
        <v>75.67</v>
      </c>
      <c r="G119">
        <v>28.08</v>
      </c>
      <c r="H119">
        <v>13.3</v>
      </c>
    </row>
    <row r="120" spans="1:8" x14ac:dyDescent="0.25">
      <c r="A120">
        <v>24</v>
      </c>
      <c r="B120" t="s">
        <v>80</v>
      </c>
      <c r="C120" t="s">
        <v>58</v>
      </c>
      <c r="D120">
        <v>50</v>
      </c>
      <c r="E120">
        <v>50.33</v>
      </c>
      <c r="F120">
        <v>56.27</v>
      </c>
      <c r="G120">
        <v>30.8</v>
      </c>
    </row>
    <row r="121" spans="1:8" x14ac:dyDescent="0.25">
      <c r="A121">
        <v>24</v>
      </c>
      <c r="B121" t="s">
        <v>81</v>
      </c>
      <c r="C121" t="s">
        <v>61</v>
      </c>
      <c r="D121">
        <v>50</v>
      </c>
      <c r="E121">
        <v>71.900000000000006</v>
      </c>
      <c r="F121">
        <v>71.900000000000006</v>
      </c>
      <c r="G121">
        <v>30.72</v>
      </c>
    </row>
    <row r="122" spans="1:8" x14ac:dyDescent="0.25">
      <c r="A122">
        <v>24</v>
      </c>
      <c r="B122" t="s">
        <v>82</v>
      </c>
      <c r="C122" t="s">
        <v>64</v>
      </c>
      <c r="D122">
        <v>40.89</v>
      </c>
      <c r="E122">
        <v>65.87</v>
      </c>
      <c r="F122">
        <v>71.09</v>
      </c>
      <c r="G122">
        <v>28.57</v>
      </c>
    </row>
    <row r="123" spans="1:8" x14ac:dyDescent="0.25">
      <c r="A123">
        <v>25</v>
      </c>
      <c r="B123" t="s">
        <v>78</v>
      </c>
      <c r="C123" t="s">
        <v>6</v>
      </c>
      <c r="D123">
        <v>32.18</v>
      </c>
      <c r="E123">
        <v>60.49</v>
      </c>
      <c r="F123">
        <v>60.6</v>
      </c>
      <c r="G123">
        <v>35.85</v>
      </c>
      <c r="H123">
        <v>12.8</v>
      </c>
    </row>
    <row r="124" spans="1:8" x14ac:dyDescent="0.25">
      <c r="A124">
        <v>25</v>
      </c>
      <c r="B124" t="s">
        <v>79</v>
      </c>
      <c r="C124" t="s">
        <v>54</v>
      </c>
      <c r="D124">
        <v>35.369999999999997</v>
      </c>
      <c r="E124">
        <v>59.76</v>
      </c>
      <c r="F124">
        <v>65.17</v>
      </c>
      <c r="G124">
        <v>33.049999999999997</v>
      </c>
      <c r="H124">
        <v>13.2</v>
      </c>
    </row>
    <row r="125" spans="1:8" x14ac:dyDescent="0.25">
      <c r="A125">
        <v>25</v>
      </c>
      <c r="B125" t="s">
        <v>80</v>
      </c>
      <c r="C125" t="s">
        <v>58</v>
      </c>
      <c r="D125">
        <v>44.31</v>
      </c>
      <c r="E125">
        <v>65.73</v>
      </c>
      <c r="F125">
        <v>54.93</v>
      </c>
      <c r="G125">
        <v>41.76</v>
      </c>
    </row>
    <row r="126" spans="1:8" x14ac:dyDescent="0.25">
      <c r="A126">
        <v>25</v>
      </c>
      <c r="B126" t="s">
        <v>81</v>
      </c>
      <c r="C126" t="s">
        <v>61</v>
      </c>
      <c r="D126">
        <v>44.44</v>
      </c>
      <c r="E126">
        <v>59.56</v>
      </c>
      <c r="F126">
        <v>59.31</v>
      </c>
      <c r="G126">
        <v>35.49</v>
      </c>
    </row>
    <row r="127" spans="1:8" x14ac:dyDescent="0.25">
      <c r="A127">
        <v>25</v>
      </c>
      <c r="B127" t="s">
        <v>82</v>
      </c>
      <c r="C127" t="s">
        <v>64</v>
      </c>
      <c r="D127">
        <v>33.14</v>
      </c>
      <c r="E127">
        <v>56.73</v>
      </c>
      <c r="F127">
        <v>60.62</v>
      </c>
      <c r="G127">
        <v>34.74</v>
      </c>
    </row>
    <row r="128" spans="1:8" x14ac:dyDescent="0.25">
      <c r="A128">
        <v>26</v>
      </c>
      <c r="B128" t="s">
        <v>78</v>
      </c>
      <c r="C128" t="s">
        <v>6</v>
      </c>
      <c r="D128">
        <v>31.26</v>
      </c>
      <c r="E128">
        <v>62.58</v>
      </c>
      <c r="F128">
        <v>30.18</v>
      </c>
      <c r="G128">
        <v>54.67</v>
      </c>
      <c r="H128">
        <v>18</v>
      </c>
    </row>
    <row r="129" spans="1:8" x14ac:dyDescent="0.25">
      <c r="A129">
        <v>26</v>
      </c>
      <c r="B129" t="s">
        <v>79</v>
      </c>
      <c r="C129" t="s">
        <v>54</v>
      </c>
      <c r="D129">
        <v>30.03</v>
      </c>
      <c r="E129">
        <v>56.06</v>
      </c>
      <c r="F129">
        <v>37.46</v>
      </c>
      <c r="G129">
        <v>46.77</v>
      </c>
      <c r="H129">
        <v>15</v>
      </c>
    </row>
    <row r="130" spans="1:8" x14ac:dyDescent="0.25">
      <c r="A130">
        <v>26</v>
      </c>
      <c r="B130" t="s">
        <v>80</v>
      </c>
      <c r="C130" t="s">
        <v>58</v>
      </c>
      <c r="D130">
        <v>50.74</v>
      </c>
      <c r="E130">
        <v>68.790000000000006</v>
      </c>
      <c r="F130">
        <v>25.53</v>
      </c>
      <c r="G130">
        <v>61.9</v>
      </c>
    </row>
    <row r="131" spans="1:8" x14ac:dyDescent="0.25">
      <c r="A131">
        <v>26</v>
      </c>
      <c r="B131" t="s">
        <v>81</v>
      </c>
      <c r="C131" t="s">
        <v>61</v>
      </c>
      <c r="D131">
        <v>34.97</v>
      </c>
      <c r="E131">
        <v>65.11</v>
      </c>
      <c r="F131">
        <v>30.53</v>
      </c>
      <c r="G131">
        <v>55.95</v>
      </c>
    </row>
    <row r="132" spans="1:8" x14ac:dyDescent="0.25">
      <c r="A132">
        <v>26</v>
      </c>
      <c r="B132" t="s">
        <v>82</v>
      </c>
      <c r="C132" t="s">
        <v>64</v>
      </c>
      <c r="D132">
        <v>35.270000000000003</v>
      </c>
      <c r="E132">
        <v>61.51</v>
      </c>
      <c r="F132">
        <v>31.5</v>
      </c>
      <c r="G132">
        <v>53.26</v>
      </c>
    </row>
    <row r="133" spans="1:8" x14ac:dyDescent="0.25">
      <c r="A133">
        <v>27</v>
      </c>
      <c r="B133" t="s">
        <v>78</v>
      </c>
      <c r="C133" t="s">
        <v>6</v>
      </c>
      <c r="D133">
        <v>30.37</v>
      </c>
      <c r="E133">
        <v>60.45</v>
      </c>
      <c r="F133">
        <v>55.93</v>
      </c>
      <c r="G133">
        <v>38.24</v>
      </c>
      <c r="H133">
        <v>12.8</v>
      </c>
    </row>
    <row r="134" spans="1:8" x14ac:dyDescent="0.25">
      <c r="A134">
        <v>27</v>
      </c>
      <c r="B134" t="s">
        <v>79</v>
      </c>
      <c r="C134" t="s">
        <v>54</v>
      </c>
      <c r="D134">
        <v>33.82</v>
      </c>
      <c r="E134">
        <v>56.18</v>
      </c>
      <c r="F134">
        <v>59.99</v>
      </c>
      <c r="G134">
        <v>34.79</v>
      </c>
      <c r="H134">
        <v>13.1</v>
      </c>
    </row>
    <row r="135" spans="1:8" x14ac:dyDescent="0.25">
      <c r="A135">
        <v>27</v>
      </c>
      <c r="B135" t="s">
        <v>80</v>
      </c>
      <c r="C135" t="s">
        <v>58</v>
      </c>
      <c r="D135">
        <v>55.94</v>
      </c>
      <c r="E135">
        <v>65.180000000000007</v>
      </c>
      <c r="F135">
        <v>49.85</v>
      </c>
      <c r="G135">
        <v>43.99</v>
      </c>
    </row>
    <row r="136" spans="1:8" x14ac:dyDescent="0.25">
      <c r="A136">
        <v>27</v>
      </c>
      <c r="B136" t="s">
        <v>81</v>
      </c>
      <c r="C136" t="s">
        <v>61</v>
      </c>
      <c r="D136">
        <v>47.06</v>
      </c>
      <c r="E136">
        <v>57.11</v>
      </c>
      <c r="F136">
        <v>55.56</v>
      </c>
      <c r="G136">
        <v>37.020000000000003</v>
      </c>
    </row>
    <row r="137" spans="1:8" x14ac:dyDescent="0.25">
      <c r="A137">
        <v>27</v>
      </c>
      <c r="B137" t="s">
        <v>82</v>
      </c>
      <c r="C137" t="s">
        <v>64</v>
      </c>
      <c r="D137">
        <v>32.950000000000003</v>
      </c>
      <c r="E137">
        <v>61.76</v>
      </c>
      <c r="F137">
        <v>55.29</v>
      </c>
      <c r="G137">
        <v>38.979999999999997</v>
      </c>
    </row>
    <row r="138" spans="1:8" x14ac:dyDescent="0.25">
      <c r="A138">
        <v>28</v>
      </c>
      <c r="B138" t="s">
        <v>78</v>
      </c>
      <c r="C138" t="s">
        <v>6</v>
      </c>
      <c r="D138">
        <v>26.29</v>
      </c>
      <c r="E138">
        <v>66.83</v>
      </c>
      <c r="F138">
        <v>25.05</v>
      </c>
      <c r="G138">
        <v>60.32</v>
      </c>
      <c r="H138">
        <v>16.5</v>
      </c>
    </row>
    <row r="139" spans="1:8" x14ac:dyDescent="0.25">
      <c r="A139">
        <v>28</v>
      </c>
      <c r="B139" t="s">
        <v>79</v>
      </c>
      <c r="C139" t="s">
        <v>54</v>
      </c>
      <c r="D139">
        <v>27.47</v>
      </c>
      <c r="E139">
        <v>65.400000000000006</v>
      </c>
      <c r="F139">
        <v>31.64</v>
      </c>
      <c r="G139">
        <v>54.62</v>
      </c>
      <c r="H139">
        <v>15.8</v>
      </c>
    </row>
    <row r="140" spans="1:8" x14ac:dyDescent="0.25">
      <c r="A140">
        <v>28</v>
      </c>
      <c r="B140" t="s">
        <v>80</v>
      </c>
      <c r="C140" t="s">
        <v>58</v>
      </c>
      <c r="D140">
        <v>38.369999999999997</v>
      </c>
      <c r="E140">
        <v>47.31</v>
      </c>
      <c r="F140">
        <v>47.96</v>
      </c>
      <c r="G140">
        <v>36.520000000000003</v>
      </c>
    </row>
    <row r="141" spans="1:8" x14ac:dyDescent="0.25">
      <c r="A141">
        <v>28</v>
      </c>
      <c r="B141" t="s">
        <v>81</v>
      </c>
      <c r="C141" t="s">
        <v>61</v>
      </c>
      <c r="D141">
        <v>32.35</v>
      </c>
      <c r="E141">
        <v>65.66</v>
      </c>
      <c r="F141">
        <v>30.64</v>
      </c>
      <c r="G141">
        <v>56.5</v>
      </c>
    </row>
    <row r="142" spans="1:8" x14ac:dyDescent="0.25">
      <c r="A142">
        <v>28</v>
      </c>
      <c r="B142" t="s">
        <v>82</v>
      </c>
      <c r="C142" t="s">
        <v>64</v>
      </c>
      <c r="D142">
        <v>28.88</v>
      </c>
      <c r="E142">
        <v>60.18</v>
      </c>
      <c r="F142">
        <v>27.74</v>
      </c>
      <c r="G142">
        <v>55.53</v>
      </c>
    </row>
    <row r="143" spans="1:8" x14ac:dyDescent="0.25">
      <c r="A143">
        <v>29</v>
      </c>
      <c r="B143" t="s">
        <v>78</v>
      </c>
      <c r="C143" t="s">
        <v>6</v>
      </c>
      <c r="D143">
        <v>32.89</v>
      </c>
      <c r="E143">
        <v>59.2</v>
      </c>
      <c r="F143">
        <v>84.4</v>
      </c>
      <c r="G143">
        <v>21.23</v>
      </c>
      <c r="H143">
        <v>8.6</v>
      </c>
    </row>
    <row r="144" spans="1:8" x14ac:dyDescent="0.25">
      <c r="A144">
        <v>29</v>
      </c>
      <c r="B144" t="s">
        <v>79</v>
      </c>
      <c r="C144" t="s">
        <v>54</v>
      </c>
      <c r="D144">
        <v>33.94</v>
      </c>
      <c r="E144">
        <v>57.47</v>
      </c>
      <c r="F144">
        <v>84.43</v>
      </c>
      <c r="G144">
        <v>20.32</v>
      </c>
      <c r="H144">
        <v>8.6</v>
      </c>
    </row>
    <row r="145" spans="1:8" x14ac:dyDescent="0.25">
      <c r="A145">
        <v>29</v>
      </c>
      <c r="B145" t="s">
        <v>80</v>
      </c>
      <c r="C145" t="s">
        <v>58</v>
      </c>
      <c r="D145">
        <v>56.44</v>
      </c>
      <c r="E145">
        <v>76.75</v>
      </c>
      <c r="F145">
        <v>82.16</v>
      </c>
      <c r="G145">
        <v>27.75</v>
      </c>
    </row>
    <row r="146" spans="1:8" x14ac:dyDescent="0.25">
      <c r="A146">
        <v>29</v>
      </c>
      <c r="B146" t="s">
        <v>81</v>
      </c>
      <c r="C146" t="s">
        <v>61</v>
      </c>
      <c r="D146">
        <v>39.22</v>
      </c>
      <c r="E146">
        <v>64.72</v>
      </c>
      <c r="F146">
        <v>85.83</v>
      </c>
      <c r="G146">
        <v>22.33</v>
      </c>
    </row>
    <row r="147" spans="1:8" x14ac:dyDescent="0.25">
      <c r="A147">
        <v>29</v>
      </c>
      <c r="B147" t="s">
        <v>82</v>
      </c>
      <c r="C147" t="s">
        <v>64</v>
      </c>
      <c r="D147">
        <v>35.85</v>
      </c>
      <c r="E147">
        <v>57.3</v>
      </c>
      <c r="F147">
        <v>85.05</v>
      </c>
      <c r="G147">
        <v>20.25</v>
      </c>
    </row>
    <row r="148" spans="1:8" x14ac:dyDescent="0.25">
      <c r="A148">
        <v>30</v>
      </c>
      <c r="B148" t="s">
        <v>78</v>
      </c>
      <c r="C148" t="s">
        <v>6</v>
      </c>
      <c r="D148">
        <v>14.09</v>
      </c>
      <c r="E148">
        <v>73.290000000000006</v>
      </c>
      <c r="F148">
        <v>83.02</v>
      </c>
      <c r="G148">
        <v>25.83</v>
      </c>
      <c r="H148">
        <v>4.3</v>
      </c>
    </row>
    <row r="149" spans="1:8" x14ac:dyDescent="0.25">
      <c r="A149">
        <v>30</v>
      </c>
      <c r="B149" t="s">
        <v>79</v>
      </c>
      <c r="C149" t="s">
        <v>54</v>
      </c>
      <c r="D149">
        <v>24.29</v>
      </c>
      <c r="E149">
        <v>70.05</v>
      </c>
      <c r="F149">
        <v>82.14</v>
      </c>
      <c r="G149">
        <v>25.22</v>
      </c>
      <c r="H149">
        <v>7.3</v>
      </c>
    </row>
    <row r="150" spans="1:8" x14ac:dyDescent="0.25">
      <c r="A150">
        <v>30</v>
      </c>
      <c r="B150" t="s">
        <v>80</v>
      </c>
      <c r="C150" t="s">
        <v>58</v>
      </c>
      <c r="D150">
        <v>10.64</v>
      </c>
      <c r="E150">
        <v>44.96</v>
      </c>
      <c r="F150">
        <v>71.319999999999993</v>
      </c>
      <c r="G150">
        <v>20.62</v>
      </c>
    </row>
    <row r="151" spans="1:8" x14ac:dyDescent="0.25">
      <c r="A151">
        <v>30</v>
      </c>
      <c r="B151" t="s">
        <v>81</v>
      </c>
      <c r="C151" t="s">
        <v>61</v>
      </c>
      <c r="D151">
        <v>15.36</v>
      </c>
      <c r="E151">
        <v>69.5</v>
      </c>
      <c r="F151">
        <v>79.430000000000007</v>
      </c>
      <c r="G151">
        <v>26.24</v>
      </c>
    </row>
    <row r="152" spans="1:8" x14ac:dyDescent="0.25">
      <c r="A152">
        <v>30</v>
      </c>
      <c r="B152" t="s">
        <v>82</v>
      </c>
      <c r="C152" t="s">
        <v>64</v>
      </c>
      <c r="D152">
        <v>13.37</v>
      </c>
      <c r="E152">
        <v>70.53</v>
      </c>
      <c r="F152">
        <v>82.61</v>
      </c>
      <c r="G152">
        <v>25.02</v>
      </c>
    </row>
    <row r="153" spans="1:8" x14ac:dyDescent="0.25">
      <c r="A153">
        <v>31</v>
      </c>
      <c r="B153" t="s">
        <v>78</v>
      </c>
      <c r="C153" t="s">
        <v>6</v>
      </c>
      <c r="D153">
        <v>57.16</v>
      </c>
      <c r="E153">
        <v>62.08</v>
      </c>
      <c r="F153">
        <v>82.01</v>
      </c>
      <c r="G153">
        <v>23.67</v>
      </c>
      <c r="H153">
        <v>16.3</v>
      </c>
    </row>
    <row r="154" spans="1:8" x14ac:dyDescent="0.25">
      <c r="A154">
        <v>31</v>
      </c>
      <c r="B154" t="s">
        <v>79</v>
      </c>
      <c r="C154" t="s">
        <v>54</v>
      </c>
      <c r="D154">
        <v>55.34</v>
      </c>
      <c r="E154">
        <v>57.41</v>
      </c>
      <c r="F154">
        <v>81.13</v>
      </c>
      <c r="G154">
        <v>22.23</v>
      </c>
      <c r="H154">
        <v>15</v>
      </c>
    </row>
    <row r="155" spans="1:8" x14ac:dyDescent="0.25">
      <c r="A155">
        <v>31</v>
      </c>
      <c r="B155" t="s">
        <v>80</v>
      </c>
      <c r="C155" t="s">
        <v>58</v>
      </c>
      <c r="D155">
        <v>80.45</v>
      </c>
      <c r="E155">
        <v>84.16</v>
      </c>
      <c r="F155">
        <v>74.77</v>
      </c>
      <c r="G155">
        <v>35.14</v>
      </c>
    </row>
    <row r="156" spans="1:8" x14ac:dyDescent="0.25">
      <c r="A156">
        <v>31</v>
      </c>
      <c r="B156" t="s">
        <v>81</v>
      </c>
      <c r="C156" t="s">
        <v>61</v>
      </c>
      <c r="D156">
        <v>68.3</v>
      </c>
      <c r="E156">
        <v>67.78</v>
      </c>
      <c r="F156">
        <v>81.180000000000007</v>
      </c>
      <c r="G156">
        <v>26.12</v>
      </c>
    </row>
    <row r="157" spans="1:8" x14ac:dyDescent="0.25">
      <c r="A157">
        <v>31</v>
      </c>
      <c r="B157" t="s">
        <v>82</v>
      </c>
      <c r="C157" t="s">
        <v>64</v>
      </c>
      <c r="D157">
        <v>62.02</v>
      </c>
      <c r="E157">
        <v>62.5</v>
      </c>
      <c r="F157">
        <v>80.52</v>
      </c>
      <c r="G157">
        <v>24.81</v>
      </c>
    </row>
    <row r="158" spans="1:8" x14ac:dyDescent="0.25">
      <c r="A158">
        <v>32</v>
      </c>
      <c r="B158" t="s">
        <v>78</v>
      </c>
      <c r="C158" t="s">
        <v>6</v>
      </c>
      <c r="D158">
        <v>23.96</v>
      </c>
      <c r="E158">
        <v>62.13</v>
      </c>
      <c r="F158">
        <v>57.86</v>
      </c>
      <c r="G158">
        <v>38.42</v>
      </c>
      <c r="H158">
        <v>10.1</v>
      </c>
    </row>
    <row r="159" spans="1:8" x14ac:dyDescent="0.25">
      <c r="A159">
        <v>32</v>
      </c>
      <c r="B159" t="s">
        <v>79</v>
      </c>
      <c r="C159" t="s">
        <v>54</v>
      </c>
      <c r="D159">
        <v>25.4</v>
      </c>
      <c r="E159">
        <v>62.21</v>
      </c>
      <c r="F159">
        <v>62.13</v>
      </c>
      <c r="G159">
        <v>35.659999999999997</v>
      </c>
      <c r="H159">
        <v>10.1</v>
      </c>
    </row>
    <row r="160" spans="1:8" x14ac:dyDescent="0.25">
      <c r="A160">
        <v>32</v>
      </c>
      <c r="B160" t="s">
        <v>80</v>
      </c>
      <c r="C160" t="s">
        <v>58</v>
      </c>
      <c r="D160">
        <v>58.17</v>
      </c>
      <c r="E160">
        <v>71.650000000000006</v>
      </c>
      <c r="F160">
        <v>46.1</v>
      </c>
      <c r="G160">
        <v>49.17</v>
      </c>
    </row>
    <row r="161" spans="1:8" x14ac:dyDescent="0.25">
      <c r="A161">
        <v>32</v>
      </c>
      <c r="B161" t="s">
        <v>81</v>
      </c>
      <c r="C161" t="s">
        <v>61</v>
      </c>
      <c r="D161">
        <v>35.619999999999997</v>
      </c>
      <c r="E161">
        <v>63.3</v>
      </c>
      <c r="F161">
        <v>55.35</v>
      </c>
      <c r="G161">
        <v>39.51</v>
      </c>
    </row>
    <row r="162" spans="1:8" x14ac:dyDescent="0.25">
      <c r="A162">
        <v>32</v>
      </c>
      <c r="B162" t="s">
        <v>82</v>
      </c>
      <c r="C162" t="s">
        <v>64</v>
      </c>
      <c r="D162">
        <v>29.65</v>
      </c>
      <c r="E162">
        <v>63.4</v>
      </c>
      <c r="F162">
        <v>55.34</v>
      </c>
      <c r="G162">
        <v>40.39</v>
      </c>
    </row>
    <row r="163" spans="1:8" x14ac:dyDescent="0.25">
      <c r="A163">
        <v>33</v>
      </c>
      <c r="B163" t="s">
        <v>78</v>
      </c>
      <c r="C163" t="s">
        <v>6</v>
      </c>
      <c r="D163">
        <v>18.75</v>
      </c>
      <c r="E163">
        <v>51.36</v>
      </c>
      <c r="F163">
        <v>60.97</v>
      </c>
      <c r="G163">
        <v>31.97</v>
      </c>
      <c r="H163">
        <v>6.8</v>
      </c>
    </row>
    <row r="164" spans="1:8" x14ac:dyDescent="0.25">
      <c r="A164">
        <v>33</v>
      </c>
      <c r="B164" t="s">
        <v>79</v>
      </c>
      <c r="C164" t="s">
        <v>54</v>
      </c>
      <c r="D164">
        <v>27.74</v>
      </c>
      <c r="E164">
        <v>51.6</v>
      </c>
      <c r="F164">
        <v>61.67</v>
      </c>
      <c r="G164">
        <v>32.03</v>
      </c>
      <c r="H164">
        <v>10.1</v>
      </c>
    </row>
    <row r="165" spans="1:8" x14ac:dyDescent="0.25">
      <c r="A165">
        <v>33</v>
      </c>
      <c r="B165" t="s">
        <v>80</v>
      </c>
      <c r="C165" t="s">
        <v>58</v>
      </c>
      <c r="D165">
        <v>54.7</v>
      </c>
      <c r="E165">
        <v>63.03</v>
      </c>
      <c r="F165">
        <v>52.64</v>
      </c>
      <c r="G165">
        <v>41.91</v>
      </c>
    </row>
    <row r="166" spans="1:8" x14ac:dyDescent="0.25">
      <c r="A166">
        <v>33</v>
      </c>
      <c r="B166" t="s">
        <v>81</v>
      </c>
      <c r="C166" t="s">
        <v>61</v>
      </c>
      <c r="D166">
        <v>34.64</v>
      </c>
      <c r="E166">
        <v>54.09</v>
      </c>
      <c r="F166">
        <v>61.32</v>
      </c>
      <c r="G166">
        <v>32.83</v>
      </c>
    </row>
    <row r="167" spans="1:8" x14ac:dyDescent="0.25">
      <c r="A167">
        <v>33</v>
      </c>
      <c r="B167" t="s">
        <v>82</v>
      </c>
      <c r="C167" t="s">
        <v>64</v>
      </c>
      <c r="D167">
        <v>22.29</v>
      </c>
      <c r="E167">
        <v>53.62</v>
      </c>
      <c r="F167">
        <v>56.81</v>
      </c>
      <c r="G167">
        <v>35.299999999999997</v>
      </c>
    </row>
    <row r="168" spans="1:8" x14ac:dyDescent="0.25">
      <c r="A168">
        <v>34</v>
      </c>
      <c r="B168" t="s">
        <v>78</v>
      </c>
      <c r="C168" t="s">
        <v>6</v>
      </c>
      <c r="D168">
        <v>30.33</v>
      </c>
      <c r="E168">
        <v>71.08</v>
      </c>
      <c r="F168">
        <v>54.17</v>
      </c>
      <c r="G168">
        <v>44.25</v>
      </c>
      <c r="H168">
        <v>14.5</v>
      </c>
    </row>
    <row r="169" spans="1:8" x14ac:dyDescent="0.25">
      <c r="A169">
        <v>34</v>
      </c>
      <c r="B169" t="s">
        <v>79</v>
      </c>
      <c r="C169" t="s">
        <v>54</v>
      </c>
      <c r="D169">
        <v>40.6</v>
      </c>
      <c r="E169">
        <v>73.400000000000006</v>
      </c>
      <c r="F169">
        <v>55.99</v>
      </c>
      <c r="G169">
        <v>44.52</v>
      </c>
      <c r="H169">
        <v>19.5</v>
      </c>
    </row>
    <row r="170" spans="1:8" x14ac:dyDescent="0.25">
      <c r="A170">
        <v>34</v>
      </c>
      <c r="B170" t="s">
        <v>80</v>
      </c>
      <c r="C170" t="s">
        <v>58</v>
      </c>
      <c r="D170">
        <v>24.26</v>
      </c>
      <c r="E170">
        <v>52.04</v>
      </c>
      <c r="F170">
        <v>77.209999999999994</v>
      </c>
      <c r="G170">
        <v>23.2</v>
      </c>
    </row>
    <row r="171" spans="1:8" x14ac:dyDescent="0.25">
      <c r="A171">
        <v>34</v>
      </c>
      <c r="B171" t="s">
        <v>81</v>
      </c>
      <c r="C171" t="s">
        <v>61</v>
      </c>
      <c r="D171">
        <v>34.31</v>
      </c>
      <c r="E171">
        <v>70.16</v>
      </c>
      <c r="F171">
        <v>57.46</v>
      </c>
      <c r="G171">
        <v>41.78</v>
      </c>
    </row>
    <row r="172" spans="1:8" x14ac:dyDescent="0.25">
      <c r="A172">
        <v>34</v>
      </c>
      <c r="B172" t="s">
        <v>82</v>
      </c>
      <c r="C172" t="s">
        <v>64</v>
      </c>
      <c r="D172">
        <v>30.43</v>
      </c>
      <c r="E172">
        <v>72.86</v>
      </c>
      <c r="F172">
        <v>53.72</v>
      </c>
      <c r="G172">
        <v>45.13</v>
      </c>
    </row>
    <row r="173" spans="1:8" x14ac:dyDescent="0.25">
      <c r="A173">
        <v>35</v>
      </c>
      <c r="B173" t="s">
        <v>78</v>
      </c>
      <c r="C173" t="s">
        <v>6</v>
      </c>
      <c r="D173">
        <v>13.89</v>
      </c>
      <c r="E173">
        <v>66.75</v>
      </c>
      <c r="F173">
        <v>63.33</v>
      </c>
      <c r="G173">
        <v>36.99</v>
      </c>
      <c r="H173">
        <v>5.7</v>
      </c>
    </row>
    <row r="174" spans="1:8" x14ac:dyDescent="0.25">
      <c r="A174">
        <v>35</v>
      </c>
      <c r="B174" t="s">
        <v>79</v>
      </c>
      <c r="C174" t="s">
        <v>54</v>
      </c>
      <c r="D174">
        <v>25.61</v>
      </c>
      <c r="E174">
        <v>62.99</v>
      </c>
      <c r="F174">
        <v>68.13</v>
      </c>
      <c r="G174">
        <v>31.41</v>
      </c>
      <c r="H174">
        <v>9.1</v>
      </c>
    </row>
    <row r="175" spans="1:8" x14ac:dyDescent="0.25">
      <c r="A175">
        <v>35</v>
      </c>
      <c r="B175" t="s">
        <v>80</v>
      </c>
      <c r="C175" t="s">
        <v>58</v>
      </c>
      <c r="D175">
        <v>14.11</v>
      </c>
      <c r="E175">
        <v>47.95</v>
      </c>
      <c r="F175">
        <v>70.760000000000005</v>
      </c>
      <c r="G175">
        <v>25.38</v>
      </c>
    </row>
    <row r="176" spans="1:8" x14ac:dyDescent="0.25">
      <c r="A176">
        <v>35</v>
      </c>
      <c r="B176" t="s">
        <v>81</v>
      </c>
      <c r="C176" t="s">
        <v>61</v>
      </c>
      <c r="D176">
        <v>12.75</v>
      </c>
      <c r="E176">
        <v>56.41</v>
      </c>
      <c r="F176">
        <v>70.94</v>
      </c>
      <c r="G176">
        <v>28.72</v>
      </c>
    </row>
    <row r="177" spans="1:8" x14ac:dyDescent="0.25">
      <c r="A177">
        <v>35</v>
      </c>
      <c r="B177" t="s">
        <v>82</v>
      </c>
      <c r="C177" t="s">
        <v>64</v>
      </c>
      <c r="D177">
        <v>15.89</v>
      </c>
      <c r="E177">
        <v>63.82</v>
      </c>
      <c r="F177">
        <v>62.6</v>
      </c>
      <c r="G177">
        <v>36.75</v>
      </c>
    </row>
    <row r="178" spans="1:8" x14ac:dyDescent="0.25">
      <c r="A178">
        <v>36</v>
      </c>
      <c r="B178" t="s">
        <v>78</v>
      </c>
      <c r="C178" t="s">
        <v>6</v>
      </c>
      <c r="D178">
        <v>27.8</v>
      </c>
      <c r="E178">
        <v>69.36</v>
      </c>
      <c r="F178">
        <v>55.28</v>
      </c>
      <c r="G178">
        <v>42.95</v>
      </c>
      <c r="H178">
        <v>12.9</v>
      </c>
    </row>
    <row r="179" spans="1:8" x14ac:dyDescent="0.25">
      <c r="A179">
        <v>36</v>
      </c>
      <c r="B179" t="s">
        <v>79</v>
      </c>
      <c r="C179" t="s">
        <v>54</v>
      </c>
      <c r="D179">
        <v>32.909999999999997</v>
      </c>
      <c r="E179">
        <v>67.88</v>
      </c>
      <c r="F179">
        <v>59.7</v>
      </c>
      <c r="G179">
        <v>39.82</v>
      </c>
      <c r="H179">
        <v>14.3</v>
      </c>
    </row>
    <row r="180" spans="1:8" x14ac:dyDescent="0.25">
      <c r="A180">
        <v>36</v>
      </c>
      <c r="B180" t="s">
        <v>80</v>
      </c>
      <c r="C180" t="s">
        <v>58</v>
      </c>
      <c r="D180">
        <v>33.909999999999997</v>
      </c>
      <c r="E180">
        <v>47.69</v>
      </c>
      <c r="F180">
        <v>73.239999999999995</v>
      </c>
      <c r="G180">
        <v>23.99</v>
      </c>
    </row>
    <row r="181" spans="1:8" x14ac:dyDescent="0.25">
      <c r="A181">
        <v>36</v>
      </c>
      <c r="B181" t="s">
        <v>81</v>
      </c>
      <c r="C181" t="s">
        <v>61</v>
      </c>
      <c r="D181">
        <v>32.68</v>
      </c>
      <c r="E181">
        <v>66</v>
      </c>
      <c r="F181">
        <v>59.67</v>
      </c>
      <c r="G181">
        <v>38.729999999999997</v>
      </c>
    </row>
    <row r="182" spans="1:8" x14ac:dyDescent="0.25">
      <c r="A182">
        <v>36</v>
      </c>
      <c r="B182" t="s">
        <v>82</v>
      </c>
      <c r="C182" t="s">
        <v>64</v>
      </c>
      <c r="D182">
        <v>30.81</v>
      </c>
      <c r="E182">
        <v>65.2</v>
      </c>
      <c r="F182">
        <v>55.35</v>
      </c>
      <c r="G182">
        <v>41.26</v>
      </c>
    </row>
    <row r="183" spans="1:8" x14ac:dyDescent="0.25">
      <c r="A183">
        <v>37</v>
      </c>
      <c r="B183" t="s">
        <v>78</v>
      </c>
      <c r="C183" t="s">
        <v>6</v>
      </c>
      <c r="D183">
        <v>12.48</v>
      </c>
      <c r="E183">
        <v>55.44</v>
      </c>
      <c r="F183">
        <v>35.85</v>
      </c>
      <c r="G183">
        <v>48.16</v>
      </c>
      <c r="H183">
        <v>6.4</v>
      </c>
    </row>
    <row r="184" spans="1:8" x14ac:dyDescent="0.25">
      <c r="A184">
        <v>37</v>
      </c>
      <c r="B184" t="s">
        <v>79</v>
      </c>
      <c r="C184" t="s">
        <v>54</v>
      </c>
      <c r="D184">
        <v>19.87</v>
      </c>
      <c r="E184">
        <v>59.67</v>
      </c>
      <c r="F184">
        <v>32.67</v>
      </c>
      <c r="G184">
        <v>52.76</v>
      </c>
      <c r="H184">
        <v>11.1</v>
      </c>
    </row>
    <row r="185" spans="1:8" x14ac:dyDescent="0.25">
      <c r="A185">
        <v>37</v>
      </c>
      <c r="B185" t="s">
        <v>80</v>
      </c>
      <c r="C185" t="s">
        <v>58</v>
      </c>
      <c r="D185">
        <v>13.12</v>
      </c>
      <c r="E185">
        <v>40.380000000000003</v>
      </c>
      <c r="F185">
        <v>62.89</v>
      </c>
      <c r="G185">
        <v>26.54</v>
      </c>
    </row>
    <row r="186" spans="1:8" x14ac:dyDescent="0.25">
      <c r="A186">
        <v>37</v>
      </c>
      <c r="B186" t="s">
        <v>81</v>
      </c>
      <c r="C186" t="s">
        <v>61</v>
      </c>
      <c r="D186">
        <v>16.989999999999998</v>
      </c>
      <c r="E186">
        <v>52.56</v>
      </c>
      <c r="F186">
        <v>37.82</v>
      </c>
      <c r="G186">
        <v>44.49</v>
      </c>
    </row>
    <row r="187" spans="1:8" x14ac:dyDescent="0.25">
      <c r="A187">
        <v>37</v>
      </c>
      <c r="B187" t="s">
        <v>82</v>
      </c>
      <c r="C187" t="s">
        <v>64</v>
      </c>
      <c r="D187">
        <v>12.02</v>
      </c>
      <c r="E187">
        <v>61.83</v>
      </c>
      <c r="F187">
        <v>37.630000000000003</v>
      </c>
      <c r="G187">
        <v>51.4</v>
      </c>
    </row>
    <row r="188" spans="1:8" x14ac:dyDescent="0.25">
      <c r="A188">
        <v>38</v>
      </c>
      <c r="B188" t="s">
        <v>78</v>
      </c>
      <c r="C188" t="s">
        <v>6</v>
      </c>
      <c r="D188">
        <v>13.91</v>
      </c>
      <c r="E188">
        <v>30.78</v>
      </c>
      <c r="F188">
        <v>61.8</v>
      </c>
      <c r="G188">
        <v>23.73</v>
      </c>
      <c r="H188">
        <v>4</v>
      </c>
    </row>
    <row r="189" spans="1:8" x14ac:dyDescent="0.25">
      <c r="A189">
        <v>38</v>
      </c>
      <c r="B189" t="s">
        <v>79</v>
      </c>
      <c r="C189" t="s">
        <v>54</v>
      </c>
      <c r="D189">
        <v>25.26</v>
      </c>
      <c r="E189">
        <v>39.549999999999997</v>
      </c>
      <c r="F189">
        <v>62.01</v>
      </c>
      <c r="G189">
        <v>28.45</v>
      </c>
      <c r="H189">
        <v>8.3000000000000007</v>
      </c>
    </row>
    <row r="190" spans="1:8" x14ac:dyDescent="0.25">
      <c r="A190">
        <v>38</v>
      </c>
      <c r="B190" t="s">
        <v>80</v>
      </c>
      <c r="C190" t="s">
        <v>58</v>
      </c>
      <c r="D190">
        <v>25.5</v>
      </c>
      <c r="E190">
        <v>33.01</v>
      </c>
      <c r="F190">
        <v>45.31</v>
      </c>
      <c r="G190">
        <v>33.590000000000003</v>
      </c>
    </row>
    <row r="191" spans="1:8" x14ac:dyDescent="0.25">
      <c r="A191">
        <v>38</v>
      </c>
      <c r="B191" t="s">
        <v>81</v>
      </c>
      <c r="C191" t="s">
        <v>61</v>
      </c>
      <c r="D191">
        <v>24.51</v>
      </c>
      <c r="E191">
        <v>29.78</v>
      </c>
      <c r="F191">
        <v>54.67</v>
      </c>
      <c r="G191">
        <v>25.42</v>
      </c>
    </row>
    <row r="192" spans="1:8" x14ac:dyDescent="0.25">
      <c r="A192">
        <v>38</v>
      </c>
      <c r="B192" t="s">
        <v>82</v>
      </c>
      <c r="C192" t="s">
        <v>64</v>
      </c>
      <c r="D192">
        <v>15.31</v>
      </c>
      <c r="E192">
        <v>29.96</v>
      </c>
      <c r="F192">
        <v>59.49</v>
      </c>
      <c r="G192">
        <v>25.82</v>
      </c>
    </row>
    <row r="193" spans="1:8" x14ac:dyDescent="0.25">
      <c r="A193">
        <v>39</v>
      </c>
      <c r="B193" t="s">
        <v>78</v>
      </c>
      <c r="C193" t="s">
        <v>6</v>
      </c>
      <c r="D193">
        <v>18.440000000000001</v>
      </c>
      <c r="E193">
        <v>54.83</v>
      </c>
      <c r="F193">
        <v>25.5</v>
      </c>
      <c r="G193">
        <v>51.36</v>
      </c>
      <c r="H193">
        <v>10</v>
      </c>
    </row>
    <row r="194" spans="1:8" x14ac:dyDescent="0.25">
      <c r="A194">
        <v>39</v>
      </c>
      <c r="B194" t="s">
        <v>79</v>
      </c>
      <c r="C194" t="s">
        <v>54</v>
      </c>
      <c r="D194">
        <v>30.98</v>
      </c>
      <c r="E194">
        <v>57.23</v>
      </c>
      <c r="F194">
        <v>29.9</v>
      </c>
      <c r="G194">
        <v>50.34</v>
      </c>
      <c r="H194">
        <v>16.600000000000001</v>
      </c>
    </row>
    <row r="195" spans="1:8" x14ac:dyDescent="0.25">
      <c r="A195">
        <v>39</v>
      </c>
      <c r="B195" t="s">
        <v>80</v>
      </c>
      <c r="C195" t="s">
        <v>58</v>
      </c>
      <c r="D195">
        <v>40.1</v>
      </c>
      <c r="E195">
        <v>47.12</v>
      </c>
      <c r="F195">
        <v>22.22</v>
      </c>
      <c r="G195">
        <v>48.77</v>
      </c>
    </row>
    <row r="196" spans="1:8" x14ac:dyDescent="0.25">
      <c r="A196">
        <v>39</v>
      </c>
      <c r="B196" t="s">
        <v>81</v>
      </c>
      <c r="C196" t="s">
        <v>61</v>
      </c>
      <c r="D196">
        <v>29.41</v>
      </c>
      <c r="E196">
        <v>52.96</v>
      </c>
      <c r="F196">
        <v>25.56</v>
      </c>
      <c r="G196">
        <v>50.52</v>
      </c>
    </row>
    <row r="197" spans="1:8" x14ac:dyDescent="0.25">
      <c r="A197">
        <v>39</v>
      </c>
      <c r="B197" t="s">
        <v>82</v>
      </c>
      <c r="C197" t="s">
        <v>64</v>
      </c>
      <c r="D197">
        <v>16.670000000000002</v>
      </c>
      <c r="E197">
        <v>51.16</v>
      </c>
      <c r="F197">
        <v>25.58</v>
      </c>
      <c r="G197">
        <v>49.22</v>
      </c>
    </row>
    <row r="198" spans="1:8" x14ac:dyDescent="0.25">
      <c r="A198">
        <v>40</v>
      </c>
      <c r="B198" t="s">
        <v>78</v>
      </c>
      <c r="C198" t="s">
        <v>6</v>
      </c>
      <c r="D198">
        <v>17.850000000000001</v>
      </c>
      <c r="E198">
        <v>52.1</v>
      </c>
      <c r="F198">
        <v>35.76</v>
      </c>
      <c r="G198">
        <v>44.39</v>
      </c>
      <c r="H198">
        <v>8.5</v>
      </c>
    </row>
    <row r="199" spans="1:8" x14ac:dyDescent="0.25">
      <c r="A199">
        <v>40</v>
      </c>
      <c r="B199" t="s">
        <v>79</v>
      </c>
      <c r="C199" t="s">
        <v>54</v>
      </c>
      <c r="D199">
        <v>19.18</v>
      </c>
      <c r="E199">
        <v>57.62</v>
      </c>
      <c r="F199">
        <v>47.26</v>
      </c>
      <c r="G199">
        <v>41.77</v>
      </c>
      <c r="H199">
        <v>8.6999999999999993</v>
      </c>
    </row>
    <row r="200" spans="1:8" x14ac:dyDescent="0.25">
      <c r="A200">
        <v>40</v>
      </c>
      <c r="B200" t="s">
        <v>80</v>
      </c>
      <c r="C200" t="s">
        <v>58</v>
      </c>
      <c r="D200">
        <v>12.87</v>
      </c>
      <c r="E200">
        <v>54.49</v>
      </c>
      <c r="F200">
        <v>50</v>
      </c>
      <c r="G200">
        <v>42.05</v>
      </c>
    </row>
    <row r="201" spans="1:8" x14ac:dyDescent="0.25">
      <c r="A201">
        <v>40</v>
      </c>
      <c r="B201" t="s">
        <v>81</v>
      </c>
      <c r="C201" t="s">
        <v>61</v>
      </c>
      <c r="D201">
        <v>16.010000000000002</v>
      </c>
      <c r="E201">
        <v>57.82</v>
      </c>
      <c r="F201">
        <v>50.34</v>
      </c>
      <c r="G201">
        <v>38.229999999999997</v>
      </c>
    </row>
    <row r="202" spans="1:8" x14ac:dyDescent="0.25">
      <c r="A202">
        <v>40</v>
      </c>
      <c r="B202" t="s">
        <v>82</v>
      </c>
      <c r="C202" t="s">
        <v>64</v>
      </c>
      <c r="D202">
        <v>17.829999999999998</v>
      </c>
      <c r="E202">
        <v>55.19</v>
      </c>
      <c r="F202">
        <v>37.68</v>
      </c>
      <c r="G202">
        <v>45.41</v>
      </c>
    </row>
    <row r="203" spans="1:8" x14ac:dyDescent="0.25">
      <c r="A203">
        <v>41</v>
      </c>
      <c r="B203" t="s">
        <v>78</v>
      </c>
      <c r="C203" t="s">
        <v>6</v>
      </c>
      <c r="D203">
        <v>47.56</v>
      </c>
      <c r="E203">
        <v>66.33</v>
      </c>
      <c r="F203">
        <v>79.260000000000005</v>
      </c>
      <c r="G203">
        <v>23.37</v>
      </c>
      <c r="H203">
        <v>13.4</v>
      </c>
    </row>
    <row r="204" spans="1:8" x14ac:dyDescent="0.25">
      <c r="A204">
        <v>41</v>
      </c>
      <c r="B204" t="s">
        <v>79</v>
      </c>
      <c r="C204" t="s">
        <v>54</v>
      </c>
      <c r="D204">
        <v>48.15</v>
      </c>
      <c r="E204">
        <v>68.37</v>
      </c>
      <c r="F204">
        <v>78.19</v>
      </c>
      <c r="G204">
        <v>25.75</v>
      </c>
      <c r="H204">
        <v>14.6</v>
      </c>
    </row>
    <row r="205" spans="1:8" x14ac:dyDescent="0.25">
      <c r="A205">
        <v>41</v>
      </c>
      <c r="B205" t="s">
        <v>80</v>
      </c>
      <c r="C205" t="s">
        <v>58</v>
      </c>
      <c r="D205">
        <v>40.590000000000003</v>
      </c>
      <c r="E205">
        <v>39.020000000000003</v>
      </c>
      <c r="F205">
        <v>48.58</v>
      </c>
      <c r="G205">
        <v>27.32</v>
      </c>
    </row>
    <row r="206" spans="1:8" x14ac:dyDescent="0.25">
      <c r="A206">
        <v>41</v>
      </c>
      <c r="B206" t="s">
        <v>81</v>
      </c>
      <c r="C206" t="s">
        <v>61</v>
      </c>
      <c r="D206">
        <v>42.48</v>
      </c>
      <c r="E206">
        <v>58.21</v>
      </c>
      <c r="F206">
        <v>73.08</v>
      </c>
      <c r="G206">
        <v>23.95</v>
      </c>
    </row>
    <row r="207" spans="1:8" x14ac:dyDescent="0.25">
      <c r="A207">
        <v>41</v>
      </c>
      <c r="B207" t="s">
        <v>82</v>
      </c>
      <c r="C207" t="s">
        <v>64</v>
      </c>
      <c r="D207">
        <v>48.26</v>
      </c>
      <c r="E207">
        <v>64.12</v>
      </c>
      <c r="F207">
        <v>75.5</v>
      </c>
      <c r="G207">
        <v>24.18</v>
      </c>
    </row>
    <row r="208" spans="1:8" x14ac:dyDescent="0.25">
      <c r="A208">
        <v>42</v>
      </c>
      <c r="B208" t="s">
        <v>78</v>
      </c>
      <c r="C208" t="s">
        <v>6</v>
      </c>
      <c r="D208">
        <v>42.19</v>
      </c>
      <c r="E208">
        <v>71.88</v>
      </c>
      <c r="F208">
        <v>53.06</v>
      </c>
      <c r="G208">
        <v>45.73</v>
      </c>
      <c r="H208">
        <v>20.7</v>
      </c>
    </row>
    <row r="209" spans="1:8" x14ac:dyDescent="0.25">
      <c r="A209">
        <v>42</v>
      </c>
      <c r="B209" t="s">
        <v>79</v>
      </c>
      <c r="C209" t="s">
        <v>54</v>
      </c>
      <c r="D209">
        <v>48.42</v>
      </c>
      <c r="E209">
        <v>68.819999999999993</v>
      </c>
      <c r="F209">
        <v>55.41</v>
      </c>
      <c r="G209">
        <v>43</v>
      </c>
      <c r="H209">
        <v>22.5</v>
      </c>
    </row>
    <row r="210" spans="1:8" x14ac:dyDescent="0.25">
      <c r="A210">
        <v>42</v>
      </c>
      <c r="B210" t="s">
        <v>80</v>
      </c>
      <c r="C210" t="s">
        <v>58</v>
      </c>
      <c r="D210">
        <v>35.64</v>
      </c>
      <c r="E210">
        <v>47.22</v>
      </c>
      <c r="F210">
        <v>71.760000000000005</v>
      </c>
      <c r="G210">
        <v>25</v>
      </c>
    </row>
    <row r="211" spans="1:8" x14ac:dyDescent="0.25">
      <c r="A211">
        <v>42</v>
      </c>
      <c r="B211" t="s">
        <v>81</v>
      </c>
      <c r="C211" t="s">
        <v>61</v>
      </c>
      <c r="D211">
        <v>39.869999999999997</v>
      </c>
      <c r="E211">
        <v>64.48</v>
      </c>
      <c r="F211">
        <v>57.38</v>
      </c>
      <c r="G211">
        <v>40.159999999999997</v>
      </c>
    </row>
    <row r="212" spans="1:8" x14ac:dyDescent="0.25">
      <c r="A212">
        <v>42</v>
      </c>
      <c r="B212" t="s">
        <v>82</v>
      </c>
      <c r="C212" t="s">
        <v>64</v>
      </c>
      <c r="D212">
        <v>40.5</v>
      </c>
      <c r="E212">
        <v>71.290000000000006</v>
      </c>
      <c r="F212">
        <v>55.18</v>
      </c>
      <c r="G212">
        <v>45.1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4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8.7109375" defaultRowHeight="15" x14ac:dyDescent="0.25"/>
  <cols>
    <col min="1" max="1" width="8" customWidth="1"/>
    <col min="2" max="2" width="75" customWidth="1"/>
    <col min="3" max="3" width="22" customWidth="1"/>
    <col min="4" max="4" width="42" customWidth="1"/>
    <col min="5" max="5" width="30" customWidth="1"/>
    <col min="6" max="6" width="55" customWidth="1"/>
  </cols>
  <sheetData>
    <row r="1" spans="1:6" ht="21.75" customHeight="1" x14ac:dyDescent="0.25">
      <c r="A1" s="22" t="s">
        <v>83</v>
      </c>
      <c r="B1" s="22"/>
      <c r="C1" s="22"/>
      <c r="D1" s="22"/>
      <c r="E1" s="22"/>
      <c r="F1" s="22"/>
    </row>
    <row r="2" spans="1:6" x14ac:dyDescent="0.25">
      <c r="A2" s="12" t="s">
        <v>72</v>
      </c>
      <c r="B2" s="12" t="s">
        <v>17</v>
      </c>
      <c r="C2" s="12" t="s">
        <v>9</v>
      </c>
      <c r="D2" s="12" t="s">
        <v>13</v>
      </c>
      <c r="E2" s="12" t="s">
        <v>84</v>
      </c>
      <c r="F2" s="12" t="s">
        <v>85</v>
      </c>
    </row>
    <row r="3" spans="1:6" x14ac:dyDescent="0.25">
      <c r="A3">
        <v>1</v>
      </c>
      <c r="B3" t="s">
        <v>86</v>
      </c>
      <c r="C3" t="s">
        <v>63</v>
      </c>
      <c r="D3" t="s">
        <v>55</v>
      </c>
      <c r="E3" t="s">
        <v>87</v>
      </c>
      <c r="F3" t="s">
        <v>88</v>
      </c>
    </row>
    <row r="4" spans="1:6" x14ac:dyDescent="0.25">
      <c r="A4">
        <v>2</v>
      </c>
      <c r="B4" t="s">
        <v>89</v>
      </c>
      <c r="C4" t="s">
        <v>63</v>
      </c>
      <c r="D4" t="s">
        <v>59</v>
      </c>
      <c r="E4" t="s">
        <v>90</v>
      </c>
      <c r="F4" t="s">
        <v>91</v>
      </c>
    </row>
    <row r="5" spans="1:6" x14ac:dyDescent="0.25">
      <c r="A5">
        <v>3</v>
      </c>
      <c r="B5" t="s">
        <v>92</v>
      </c>
      <c r="C5" t="s">
        <v>57</v>
      </c>
      <c r="D5" t="s">
        <v>59</v>
      </c>
      <c r="E5" t="s">
        <v>93</v>
      </c>
      <c r="F5" t="s">
        <v>94</v>
      </c>
    </row>
    <row r="6" spans="1:6" x14ac:dyDescent="0.25">
      <c r="A6">
        <v>4</v>
      </c>
      <c r="B6" t="s">
        <v>95</v>
      </c>
      <c r="C6" t="s">
        <v>53</v>
      </c>
      <c r="D6" t="s">
        <v>59</v>
      </c>
      <c r="E6" t="s">
        <v>96</v>
      </c>
      <c r="F6" t="s">
        <v>97</v>
      </c>
    </row>
    <row r="7" spans="1:6" x14ac:dyDescent="0.25">
      <c r="A7">
        <v>5</v>
      </c>
      <c r="B7" t="s">
        <v>98</v>
      </c>
      <c r="C7" t="s">
        <v>53</v>
      </c>
      <c r="D7" t="s">
        <v>62</v>
      </c>
      <c r="E7" t="s">
        <v>99</v>
      </c>
      <c r="F7" t="s">
        <v>100</v>
      </c>
    </row>
    <row r="8" spans="1:6" x14ac:dyDescent="0.25">
      <c r="A8">
        <v>6</v>
      </c>
      <c r="B8" t="s">
        <v>101</v>
      </c>
      <c r="C8" t="s">
        <v>53</v>
      </c>
      <c r="D8" t="s">
        <v>62</v>
      </c>
      <c r="E8" t="s">
        <v>102</v>
      </c>
      <c r="F8" t="s">
        <v>103</v>
      </c>
    </row>
    <row r="9" spans="1:6" x14ac:dyDescent="0.25">
      <c r="A9">
        <v>7</v>
      </c>
      <c r="B9" t="s">
        <v>104</v>
      </c>
      <c r="C9" t="s">
        <v>53</v>
      </c>
      <c r="D9" t="s">
        <v>62</v>
      </c>
      <c r="E9" t="s">
        <v>105</v>
      </c>
      <c r="F9" t="s">
        <v>106</v>
      </c>
    </row>
    <row r="10" spans="1:6" x14ac:dyDescent="0.25">
      <c r="A10">
        <v>8</v>
      </c>
      <c r="B10" t="s">
        <v>107</v>
      </c>
      <c r="C10" t="s">
        <v>53</v>
      </c>
      <c r="D10" t="s">
        <v>65</v>
      </c>
      <c r="E10" t="s">
        <v>108</v>
      </c>
      <c r="F10" t="s">
        <v>109</v>
      </c>
    </row>
    <row r="11" spans="1:6" x14ac:dyDescent="0.25">
      <c r="A11">
        <v>9</v>
      </c>
      <c r="B11" t="s">
        <v>110</v>
      </c>
      <c r="C11" t="s">
        <v>53</v>
      </c>
      <c r="D11" t="s">
        <v>62</v>
      </c>
      <c r="E11" t="s">
        <v>111</v>
      </c>
      <c r="F11" t="s">
        <v>112</v>
      </c>
    </row>
    <row r="12" spans="1:6" x14ac:dyDescent="0.25">
      <c r="A12">
        <v>10</v>
      </c>
      <c r="B12" t="s">
        <v>113</v>
      </c>
      <c r="C12" t="s">
        <v>60</v>
      </c>
      <c r="D12" t="s">
        <v>55</v>
      </c>
      <c r="E12" t="s">
        <v>114</v>
      </c>
      <c r="F12" t="s">
        <v>115</v>
      </c>
    </row>
    <row r="13" spans="1:6" x14ac:dyDescent="0.25">
      <c r="A13">
        <v>11</v>
      </c>
      <c r="B13" t="s">
        <v>116</v>
      </c>
      <c r="C13" t="s">
        <v>53</v>
      </c>
      <c r="D13" t="s">
        <v>65</v>
      </c>
      <c r="E13" t="s">
        <v>117</v>
      </c>
      <c r="F13" t="s">
        <v>118</v>
      </c>
    </row>
    <row r="14" spans="1:6" x14ac:dyDescent="0.25">
      <c r="A14">
        <v>12</v>
      </c>
      <c r="B14" t="s">
        <v>119</v>
      </c>
      <c r="C14" t="s">
        <v>66</v>
      </c>
      <c r="D14" t="s">
        <v>55</v>
      </c>
      <c r="E14" t="s">
        <v>120</v>
      </c>
      <c r="F14" t="s">
        <v>121</v>
      </c>
    </row>
    <row r="15" spans="1:6" x14ac:dyDescent="0.25">
      <c r="A15">
        <v>13</v>
      </c>
      <c r="B15" t="s">
        <v>122</v>
      </c>
      <c r="C15" t="s">
        <v>53</v>
      </c>
      <c r="D15" t="s">
        <v>55</v>
      </c>
      <c r="E15" t="s">
        <v>123</v>
      </c>
      <c r="F15" t="s">
        <v>124</v>
      </c>
    </row>
    <row r="16" spans="1:6" x14ac:dyDescent="0.25">
      <c r="A16">
        <v>14</v>
      </c>
      <c r="B16" t="s">
        <v>125</v>
      </c>
      <c r="C16" t="s">
        <v>53</v>
      </c>
      <c r="D16" t="s">
        <v>65</v>
      </c>
      <c r="E16" t="s">
        <v>126</v>
      </c>
      <c r="F16" t="s">
        <v>127</v>
      </c>
    </row>
    <row r="17" spans="1:6" x14ac:dyDescent="0.25">
      <c r="A17">
        <v>15</v>
      </c>
      <c r="B17" t="s">
        <v>128</v>
      </c>
      <c r="C17" t="s">
        <v>53</v>
      </c>
      <c r="D17" t="s">
        <v>65</v>
      </c>
      <c r="E17" t="s">
        <v>129</v>
      </c>
      <c r="F17" t="s">
        <v>130</v>
      </c>
    </row>
    <row r="18" spans="1:6" x14ac:dyDescent="0.25">
      <c r="A18">
        <v>16</v>
      </c>
      <c r="B18" t="s">
        <v>131</v>
      </c>
      <c r="C18" t="s">
        <v>53</v>
      </c>
      <c r="D18" t="s">
        <v>65</v>
      </c>
      <c r="E18" t="s">
        <v>132</v>
      </c>
      <c r="F18" t="s">
        <v>133</v>
      </c>
    </row>
    <row r="19" spans="1:6" x14ac:dyDescent="0.25">
      <c r="A19">
        <v>17</v>
      </c>
      <c r="B19" t="s">
        <v>134</v>
      </c>
      <c r="C19" t="s">
        <v>66</v>
      </c>
      <c r="D19" t="s">
        <v>55</v>
      </c>
      <c r="E19" t="s">
        <v>135</v>
      </c>
      <c r="F19" t="s">
        <v>136</v>
      </c>
    </row>
    <row r="20" spans="1:6" x14ac:dyDescent="0.25">
      <c r="A20">
        <v>18</v>
      </c>
      <c r="B20" t="s">
        <v>137</v>
      </c>
      <c r="C20" t="s">
        <v>60</v>
      </c>
      <c r="D20" t="s">
        <v>55</v>
      </c>
      <c r="E20" t="s">
        <v>138</v>
      </c>
      <c r="F20" t="s">
        <v>139</v>
      </c>
    </row>
    <row r="21" spans="1:6" x14ac:dyDescent="0.25">
      <c r="A21">
        <v>19</v>
      </c>
      <c r="B21" t="s">
        <v>140</v>
      </c>
      <c r="C21" t="s">
        <v>53</v>
      </c>
      <c r="D21" t="s">
        <v>68</v>
      </c>
      <c r="E21" t="s">
        <v>141</v>
      </c>
      <c r="F21" t="s">
        <v>142</v>
      </c>
    </row>
    <row r="22" spans="1:6" x14ac:dyDescent="0.25">
      <c r="A22">
        <v>20</v>
      </c>
      <c r="B22" t="s">
        <v>143</v>
      </c>
      <c r="C22" t="s">
        <v>53</v>
      </c>
      <c r="D22" t="s">
        <v>67</v>
      </c>
      <c r="E22" t="s">
        <v>144</v>
      </c>
      <c r="F22" t="s">
        <v>145</v>
      </c>
    </row>
    <row r="23" spans="1:6" x14ac:dyDescent="0.25">
      <c r="A23">
        <v>21</v>
      </c>
      <c r="B23" t="s">
        <v>146</v>
      </c>
      <c r="C23" t="s">
        <v>53</v>
      </c>
      <c r="D23" t="s">
        <v>69</v>
      </c>
      <c r="E23" t="s">
        <v>147</v>
      </c>
      <c r="F23" t="s">
        <v>148</v>
      </c>
    </row>
    <row r="24" spans="1:6" x14ac:dyDescent="0.25">
      <c r="A24">
        <v>22</v>
      </c>
      <c r="B24" t="s">
        <v>149</v>
      </c>
      <c r="C24" t="s">
        <v>60</v>
      </c>
      <c r="D24" t="s">
        <v>67</v>
      </c>
      <c r="E24" t="s">
        <v>150</v>
      </c>
      <c r="F24" t="s">
        <v>151</v>
      </c>
    </row>
    <row r="25" spans="1:6" x14ac:dyDescent="0.25">
      <c r="A25">
        <v>23</v>
      </c>
      <c r="B25" t="s">
        <v>152</v>
      </c>
      <c r="C25" t="s">
        <v>63</v>
      </c>
      <c r="D25" t="s">
        <v>67</v>
      </c>
      <c r="E25" t="s">
        <v>153</v>
      </c>
      <c r="F25" t="s">
        <v>154</v>
      </c>
    </row>
    <row r="26" spans="1:6" x14ac:dyDescent="0.25">
      <c r="A26">
        <v>24</v>
      </c>
      <c r="B26" t="s">
        <v>155</v>
      </c>
      <c r="C26" t="s">
        <v>53</v>
      </c>
      <c r="D26" t="s">
        <v>67</v>
      </c>
      <c r="E26" t="s">
        <v>156</v>
      </c>
      <c r="F26" t="s">
        <v>157</v>
      </c>
    </row>
    <row r="27" spans="1:6" x14ac:dyDescent="0.25">
      <c r="A27">
        <v>25</v>
      </c>
      <c r="B27" t="s">
        <v>158</v>
      </c>
      <c r="C27" t="s">
        <v>60</v>
      </c>
      <c r="D27" t="s">
        <v>55</v>
      </c>
      <c r="E27" t="s">
        <v>159</v>
      </c>
      <c r="F27" t="s">
        <v>160</v>
      </c>
    </row>
    <row r="28" spans="1:6" x14ac:dyDescent="0.25">
      <c r="A28">
        <v>26</v>
      </c>
      <c r="B28" t="s">
        <v>161</v>
      </c>
      <c r="C28" t="s">
        <v>63</v>
      </c>
      <c r="D28" t="s">
        <v>55</v>
      </c>
      <c r="E28" t="s">
        <v>162</v>
      </c>
      <c r="F28" t="s">
        <v>163</v>
      </c>
    </row>
    <row r="29" spans="1:6" x14ac:dyDescent="0.25">
      <c r="A29">
        <v>27</v>
      </c>
      <c r="B29" t="s">
        <v>164</v>
      </c>
      <c r="C29" t="s">
        <v>60</v>
      </c>
      <c r="D29" t="s">
        <v>55</v>
      </c>
      <c r="E29" t="s">
        <v>165</v>
      </c>
      <c r="F29" t="s">
        <v>166</v>
      </c>
    </row>
    <row r="30" spans="1:6" x14ac:dyDescent="0.25">
      <c r="A30">
        <v>28</v>
      </c>
      <c r="B30" t="s">
        <v>167</v>
      </c>
      <c r="C30" t="s">
        <v>63</v>
      </c>
      <c r="D30" t="s">
        <v>67</v>
      </c>
      <c r="E30" t="s">
        <v>168</v>
      </c>
      <c r="F30" t="s">
        <v>169</v>
      </c>
    </row>
    <row r="31" spans="1:6" x14ac:dyDescent="0.25">
      <c r="A31">
        <v>29</v>
      </c>
      <c r="B31" t="s">
        <v>170</v>
      </c>
      <c r="C31" t="s">
        <v>57</v>
      </c>
      <c r="D31" t="s">
        <v>68</v>
      </c>
      <c r="E31" t="s">
        <v>171</v>
      </c>
      <c r="F31" t="s">
        <v>172</v>
      </c>
    </row>
    <row r="32" spans="1:6" x14ac:dyDescent="0.25">
      <c r="A32">
        <v>30</v>
      </c>
      <c r="B32" t="s">
        <v>173</v>
      </c>
      <c r="C32" t="s">
        <v>57</v>
      </c>
      <c r="D32" t="s">
        <v>67</v>
      </c>
      <c r="E32" t="s">
        <v>174</v>
      </c>
      <c r="F32" t="s">
        <v>175</v>
      </c>
    </row>
    <row r="33" spans="1:6" x14ac:dyDescent="0.25">
      <c r="A33">
        <v>31</v>
      </c>
      <c r="B33" t="s">
        <v>176</v>
      </c>
      <c r="C33" t="s">
        <v>57</v>
      </c>
      <c r="D33" t="s">
        <v>68</v>
      </c>
      <c r="E33" t="s">
        <v>177</v>
      </c>
      <c r="F33" t="s">
        <v>178</v>
      </c>
    </row>
    <row r="34" spans="1:6" x14ac:dyDescent="0.25">
      <c r="A34">
        <v>32</v>
      </c>
      <c r="B34" t="s">
        <v>179</v>
      </c>
      <c r="C34" t="s">
        <v>60</v>
      </c>
      <c r="D34" t="s">
        <v>68</v>
      </c>
      <c r="E34" t="s">
        <v>177</v>
      </c>
      <c r="F34" t="s">
        <v>178</v>
      </c>
    </row>
    <row r="35" spans="1:6" x14ac:dyDescent="0.25">
      <c r="A35">
        <v>33</v>
      </c>
      <c r="B35" t="s">
        <v>180</v>
      </c>
      <c r="C35" t="s">
        <v>60</v>
      </c>
      <c r="D35" t="s">
        <v>69</v>
      </c>
      <c r="E35" t="s">
        <v>181</v>
      </c>
      <c r="F35" t="s">
        <v>182</v>
      </c>
    </row>
    <row r="36" spans="1:6" x14ac:dyDescent="0.25">
      <c r="A36">
        <v>34</v>
      </c>
      <c r="B36" t="s">
        <v>183</v>
      </c>
      <c r="C36" t="s">
        <v>60</v>
      </c>
      <c r="D36" t="s">
        <v>69</v>
      </c>
      <c r="E36" t="s">
        <v>184</v>
      </c>
      <c r="F36" t="s">
        <v>185</v>
      </c>
    </row>
    <row r="37" spans="1:6" x14ac:dyDescent="0.25">
      <c r="A37">
        <v>35</v>
      </c>
      <c r="B37" t="s">
        <v>186</v>
      </c>
      <c r="C37" t="s">
        <v>60</v>
      </c>
      <c r="D37" t="s">
        <v>69</v>
      </c>
      <c r="E37" t="s">
        <v>187</v>
      </c>
      <c r="F37" t="s">
        <v>188</v>
      </c>
    </row>
    <row r="38" spans="1:6" x14ac:dyDescent="0.25">
      <c r="A38">
        <v>36</v>
      </c>
      <c r="B38" t="s">
        <v>189</v>
      </c>
      <c r="C38" t="s">
        <v>60</v>
      </c>
      <c r="D38" t="s">
        <v>69</v>
      </c>
      <c r="E38" t="s">
        <v>190</v>
      </c>
      <c r="F38" t="s">
        <v>191</v>
      </c>
    </row>
    <row r="39" spans="1:6" x14ac:dyDescent="0.25">
      <c r="A39">
        <v>37</v>
      </c>
      <c r="B39" t="s">
        <v>192</v>
      </c>
      <c r="C39" t="s">
        <v>63</v>
      </c>
      <c r="D39" t="s">
        <v>69</v>
      </c>
      <c r="E39" t="s">
        <v>190</v>
      </c>
      <c r="F39" t="s">
        <v>191</v>
      </c>
    </row>
    <row r="40" spans="1:6" x14ac:dyDescent="0.25">
      <c r="A40">
        <v>38</v>
      </c>
      <c r="B40" t="s">
        <v>193</v>
      </c>
      <c r="C40" t="s">
        <v>63</v>
      </c>
      <c r="D40" t="s">
        <v>69</v>
      </c>
      <c r="E40" t="s">
        <v>194</v>
      </c>
      <c r="F40" t="s">
        <v>195</v>
      </c>
    </row>
    <row r="41" spans="1:6" x14ac:dyDescent="0.25">
      <c r="A41">
        <v>39</v>
      </c>
      <c r="B41" t="s">
        <v>196</v>
      </c>
      <c r="C41" t="s">
        <v>63</v>
      </c>
      <c r="D41" t="s">
        <v>70</v>
      </c>
      <c r="E41" t="s">
        <v>197</v>
      </c>
      <c r="F41" t="s">
        <v>198</v>
      </c>
    </row>
    <row r="42" spans="1:6" x14ac:dyDescent="0.25">
      <c r="A42">
        <v>40</v>
      </c>
      <c r="B42" t="s">
        <v>199</v>
      </c>
      <c r="C42" t="s">
        <v>63</v>
      </c>
      <c r="D42" t="s">
        <v>70</v>
      </c>
      <c r="E42" t="s">
        <v>200</v>
      </c>
      <c r="F42" t="s">
        <v>201</v>
      </c>
    </row>
    <row r="43" spans="1:6" x14ac:dyDescent="0.25">
      <c r="A43">
        <v>41</v>
      </c>
      <c r="B43" t="s">
        <v>202</v>
      </c>
      <c r="C43" t="s">
        <v>53</v>
      </c>
      <c r="D43" t="s">
        <v>70</v>
      </c>
      <c r="E43" t="s">
        <v>203</v>
      </c>
      <c r="F43" t="s">
        <v>204</v>
      </c>
    </row>
    <row r="44" spans="1:6" x14ac:dyDescent="0.25">
      <c r="A44">
        <v>42</v>
      </c>
      <c r="B44" t="s">
        <v>205</v>
      </c>
      <c r="C44" t="s">
        <v>60</v>
      </c>
      <c r="D44" t="s">
        <v>70</v>
      </c>
      <c r="E44" t="s">
        <v>203</v>
      </c>
      <c r="F44" t="s">
        <v>204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3"/>
  <sheetViews>
    <sheetView showGridLines="0" zoomScaleNormal="100" workbookViewId="0"/>
  </sheetViews>
  <sheetFormatPr baseColWidth="10" defaultColWidth="8.7109375" defaultRowHeight="15" x14ac:dyDescent="0.25"/>
  <cols>
    <col min="1" max="1" width="14" customWidth="1"/>
    <col min="2" max="2" width="75" customWidth="1"/>
    <col min="3" max="3" width="38" customWidth="1"/>
    <col min="4" max="16" width="14" customWidth="1"/>
  </cols>
  <sheetData>
    <row r="1" spans="1:16" x14ac:dyDescent="0.25">
      <c r="A1" s="12" t="s">
        <v>72</v>
      </c>
      <c r="B1" s="12" t="s">
        <v>17</v>
      </c>
      <c r="C1" s="12" t="s">
        <v>13</v>
      </c>
      <c r="D1" s="12" t="s">
        <v>9</v>
      </c>
      <c r="E1" s="12" t="s">
        <v>18</v>
      </c>
      <c r="F1" s="12" t="s">
        <v>19</v>
      </c>
      <c r="G1" s="12" t="s">
        <v>20</v>
      </c>
      <c r="H1" s="12" t="s">
        <v>21</v>
      </c>
      <c r="I1" s="12" t="s">
        <v>22</v>
      </c>
      <c r="J1" s="12" t="s">
        <v>206</v>
      </c>
      <c r="K1" s="12" t="s">
        <v>207</v>
      </c>
      <c r="L1" s="12" t="s">
        <v>208</v>
      </c>
      <c r="M1" s="12" t="s">
        <v>209</v>
      </c>
      <c r="N1" s="12" t="s">
        <v>210</v>
      </c>
      <c r="O1" s="12" t="s">
        <v>211</v>
      </c>
      <c r="P1" s="12" t="s">
        <v>212</v>
      </c>
    </row>
    <row r="2" spans="1:16" x14ac:dyDescent="0.25">
      <c r="A2">
        <v>1</v>
      </c>
      <c r="B2" t="s">
        <v>86</v>
      </c>
      <c r="C2" t="s">
        <v>55</v>
      </c>
      <c r="D2" t="s">
        <v>63</v>
      </c>
      <c r="E2">
        <f>IF(COUNTIFS(Daten[myth_id],1,Daten[Zielgruppe],selectedGroup,Daten[Kenntnis %],"&lt;&gt;")=0,"",SUMIFS(Daten[Kenntnis %],Daten[myth_id],1,Daten[Zielgruppe],selectedGroup))</f>
        <v>12.32</v>
      </c>
      <c r="F2">
        <f>IF(COUNTIFS(Daten[myth_id],1,Daten[Zielgruppe],selectedGroup,Daten[Bedeutung Pkt.],"&lt;&gt;")=0,"",SUMIFS(Daten[Bedeutung Pkt.],Daten[myth_id],1,Daten[Zielgruppe],selectedGroup))</f>
        <v>52.82</v>
      </c>
      <c r="G2">
        <f>IF(COUNTIFS(Daten[myth_id],1,Daten[Zielgruppe],selectedGroup,Daten[Richtigkeit Pkt.],"&lt;&gt;")=0,"",SUMIFS(Daten[Richtigkeit Pkt.],Daten[myth_id],1,Daten[Zielgruppe],selectedGroup))</f>
        <v>49.1</v>
      </c>
      <c r="H2">
        <f>IF(COUNTIFS(Daten[myth_id],1,Daten[Zielgruppe],selectedGroup,Daten[Präventionsbedeutung Pkt.],"&lt;&gt;")=0,"",SUMIFS(Daten[Präventionsbedeutung Pkt.],Daten[myth_id],1,Daten[Zielgruppe],selectedGroup))</f>
        <v>41.49</v>
      </c>
      <c r="I2">
        <f>IF(COUNTIFS(Daten[myth_id],1,Daten[Zielgruppe],selectedGroup,Daten[Bevölkerungsrelevanz Pkt.],"&lt;&gt;")=0,"",SUMIFS(Daten[Bevölkerungsrelevanz Pkt.],Daten[myth_id],1,Daten[Zielgruppe],selectedGroup))</f>
        <v>5.6</v>
      </c>
      <c r="J2">
        <f t="shared" ref="J2:J43" si="0">IF(klassFilter="Alle",1,IF($D2=klassFilter,1,0))</f>
        <v>1</v>
      </c>
      <c r="K2">
        <f t="shared" ref="K2:K43" si="1">IF(katFilter="Alle",1,IF($C2=katFilter,1,0))</f>
        <v>1</v>
      </c>
      <c r="L2">
        <f t="shared" ref="L2:L43" si="2">IF(LEN(sucheText)=0,1,IFERROR(IF(ISNUMBER(SEARCH(sucheText,$B2)),1,0),0))</f>
        <v>1</v>
      </c>
      <c r="M2">
        <f t="shared" ref="M2:M43" si="3">$J2*$K2*$L2</f>
        <v>1</v>
      </c>
      <c r="N2">
        <f>CHOOSE(sortIdx,$A2,COUNTIF(Live!$B$2:$B$43,"&lt;"&amp;$B2)+1,COUNTIF(Live!$C$2:$C$43,"&lt;"&amp;$C2)+1,IFERROR(VLOOKUP($D2,Listen!$H$2:$I$6,2,FALSE()),99),$E2,$F2,$G2,$H2,$I2)</f>
        <v>1</v>
      </c>
      <c r="O2">
        <f t="shared" ref="O2:O43" si="4">IF($N2="",100000,sortDir*$N2)+ROW()*0.0001</f>
        <v>1.0002</v>
      </c>
      <c r="P2">
        <f>IF($M2&lt;&gt;1,0,COUNTIFS(Live!$M$2:$M$43,1,Live!$O$2:$O$43,"&lt;"&amp;$O2)+1)</f>
        <v>1</v>
      </c>
    </row>
    <row r="3" spans="1:16" x14ac:dyDescent="0.25">
      <c r="A3">
        <v>2</v>
      </c>
      <c r="B3" t="s">
        <v>89</v>
      </c>
      <c r="C3" t="s">
        <v>59</v>
      </c>
      <c r="D3" t="s">
        <v>63</v>
      </c>
      <c r="E3">
        <f>IF(COUNTIFS(Daten[myth_id],2,Daten[Zielgruppe],selectedGroup,Daten[Kenntnis %],"&lt;&gt;")=0,"",SUMIFS(Daten[Kenntnis %],Daten[myth_id],2,Daten[Zielgruppe],selectedGroup))</f>
        <v>18.02</v>
      </c>
      <c r="F3">
        <f>IF(COUNTIFS(Daten[myth_id],2,Daten[Zielgruppe],selectedGroup,Daten[Bedeutung Pkt.],"&lt;&gt;")=0,"",SUMIFS(Daten[Bedeutung Pkt.],Daten[myth_id],2,Daten[Zielgruppe],selectedGroup))</f>
        <v>52.63</v>
      </c>
      <c r="G3">
        <f>IF(COUNTIFS(Daten[myth_id],2,Daten[Zielgruppe],selectedGroup,Daten[Richtigkeit Pkt.],"&lt;&gt;")=0,"",SUMIFS(Daten[Richtigkeit Pkt.],Daten[myth_id],2,Daten[Zielgruppe],selectedGroup))</f>
        <v>63.77</v>
      </c>
      <c r="H3">
        <f>IF(COUNTIFS(Daten[myth_id],2,Daten[Zielgruppe],selectedGroup,Daten[Präventionsbedeutung Pkt.],"&lt;&gt;")=0,"",SUMIFS(Daten[Präventionsbedeutung Pkt.],Daten[myth_id],2,Daten[Zielgruppe],selectedGroup))</f>
        <v>31.78</v>
      </c>
      <c r="I3">
        <f>IF(COUNTIFS(Daten[myth_id],2,Daten[Zielgruppe],selectedGroup,Daten[Bevölkerungsrelevanz Pkt.],"&lt;&gt;")=0,"",SUMIFS(Daten[Bevölkerungsrelevanz Pkt.],Daten[myth_id],2,Daten[Zielgruppe],selectedGroup))</f>
        <v>6.5</v>
      </c>
      <c r="J3">
        <f t="shared" si="0"/>
        <v>1</v>
      </c>
      <c r="K3">
        <f t="shared" si="1"/>
        <v>1</v>
      </c>
      <c r="L3">
        <f t="shared" si="2"/>
        <v>1</v>
      </c>
      <c r="M3">
        <f t="shared" si="3"/>
        <v>1</v>
      </c>
      <c r="N3">
        <f>CHOOSE(sortIdx,$A3,COUNTIF(Live!$B$2:$B$43,"&lt;"&amp;$B3)+1,COUNTIF(Live!$C$2:$C$43,"&lt;"&amp;$C3)+1,IFERROR(VLOOKUP($D3,Listen!$H$2:$I$6,2,FALSE()),99),$E3,$F3,$G3,$H3,$I3)</f>
        <v>2</v>
      </c>
      <c r="O3">
        <f t="shared" si="4"/>
        <v>2.0003000000000002</v>
      </c>
      <c r="P3">
        <f>IF($M3&lt;&gt;1,0,COUNTIFS(Live!$M$2:$M$43,1,Live!$O$2:$O$43,"&lt;"&amp;$O3)+1)</f>
        <v>2</v>
      </c>
    </row>
    <row r="4" spans="1:16" x14ac:dyDescent="0.25">
      <c r="A4">
        <v>3</v>
      </c>
      <c r="B4" t="s">
        <v>92</v>
      </c>
      <c r="C4" t="s">
        <v>59</v>
      </c>
      <c r="D4" t="s">
        <v>57</v>
      </c>
      <c r="E4">
        <f>IF(COUNTIFS(Daten[myth_id],3,Daten[Zielgruppe],selectedGroup,Daten[Kenntnis %],"&lt;&gt;")=0,"",SUMIFS(Daten[Kenntnis %],Daten[myth_id],3,Daten[Zielgruppe],selectedGroup))</f>
        <v>48.64</v>
      </c>
      <c r="F4">
        <f>IF(COUNTIFS(Daten[myth_id],3,Daten[Zielgruppe],selectedGroup,Daten[Bedeutung Pkt.],"&lt;&gt;")=0,"",SUMIFS(Daten[Bedeutung Pkt.],Daten[myth_id],3,Daten[Zielgruppe],selectedGroup))</f>
        <v>76.78</v>
      </c>
      <c r="G4">
        <f>IF(COUNTIFS(Daten[myth_id],3,Daten[Zielgruppe],selectedGroup,Daten[Richtigkeit Pkt.],"&lt;&gt;")=0,"",SUMIFS(Daten[Richtigkeit Pkt.],Daten[myth_id],3,Daten[Zielgruppe],selectedGroup))</f>
        <v>77.930000000000007</v>
      </c>
      <c r="H4">
        <f>IF(COUNTIFS(Daten[myth_id],3,Daten[Zielgruppe],selectedGroup,Daten[Präventionsbedeutung Pkt.],"&lt;&gt;")=0,"",SUMIFS(Daten[Präventionsbedeutung Pkt.],Daten[myth_id],3,Daten[Zielgruppe],selectedGroup))</f>
        <v>30.43</v>
      </c>
      <c r="I4">
        <f>IF(COUNTIFS(Daten[myth_id],3,Daten[Zielgruppe],selectedGroup,Daten[Bevölkerungsrelevanz Pkt.],"&lt;&gt;")=0,"",SUMIFS(Daten[Bevölkerungsrelevanz Pkt.],Daten[myth_id],3,Daten[Zielgruppe],selectedGroup))</f>
        <v>16.899999999999999</v>
      </c>
      <c r="J4">
        <f t="shared" si="0"/>
        <v>1</v>
      </c>
      <c r="K4">
        <f t="shared" si="1"/>
        <v>1</v>
      </c>
      <c r="L4">
        <f t="shared" si="2"/>
        <v>1</v>
      </c>
      <c r="M4">
        <f t="shared" si="3"/>
        <v>1</v>
      </c>
      <c r="N4">
        <f>CHOOSE(sortIdx,$A4,COUNTIF(Live!$B$2:$B$43,"&lt;"&amp;$B4)+1,COUNTIF(Live!$C$2:$C$43,"&lt;"&amp;$C4)+1,IFERROR(VLOOKUP($D4,Listen!$H$2:$I$6,2,FALSE()),99),$E4,$F4,$G4,$H4,$I4)</f>
        <v>3</v>
      </c>
      <c r="O4">
        <f t="shared" si="4"/>
        <v>3.0004</v>
      </c>
      <c r="P4">
        <f>IF($M4&lt;&gt;1,0,COUNTIFS(Live!$M$2:$M$43,1,Live!$O$2:$O$43,"&lt;"&amp;$O4)+1)</f>
        <v>3</v>
      </c>
    </row>
    <row r="5" spans="1:16" x14ac:dyDescent="0.25">
      <c r="A5">
        <v>4</v>
      </c>
      <c r="B5" t="s">
        <v>95</v>
      </c>
      <c r="C5" t="s">
        <v>59</v>
      </c>
      <c r="D5" t="s">
        <v>53</v>
      </c>
      <c r="E5">
        <f>IF(COUNTIFS(Daten[myth_id],4,Daten[Zielgruppe],selectedGroup,Daten[Kenntnis %],"&lt;&gt;")=0,"",SUMIFS(Daten[Kenntnis %],Daten[myth_id],4,Daten[Zielgruppe],selectedGroup))</f>
        <v>35.159999999999997</v>
      </c>
      <c r="F5">
        <f>IF(COUNTIFS(Daten[myth_id],4,Daten[Zielgruppe],selectedGroup,Daten[Bedeutung Pkt.],"&lt;&gt;")=0,"",SUMIFS(Daten[Bedeutung Pkt.],Daten[myth_id],4,Daten[Zielgruppe],selectedGroup))</f>
        <v>62.1</v>
      </c>
      <c r="G5">
        <f>IF(COUNTIFS(Daten[myth_id],4,Daten[Zielgruppe],selectedGroup,Daten[Richtigkeit Pkt.],"&lt;&gt;")=0,"",SUMIFS(Daten[Richtigkeit Pkt.],Daten[myth_id],4,Daten[Zielgruppe],selectedGroup))</f>
        <v>69.66</v>
      </c>
      <c r="H5">
        <f>IF(COUNTIFS(Daten[myth_id],4,Daten[Zielgruppe],selectedGroup,Daten[Präventionsbedeutung Pkt.],"&lt;&gt;")=0,"",SUMIFS(Daten[Präventionsbedeutung Pkt.],Daten[myth_id],4,Daten[Zielgruppe],selectedGroup))</f>
        <v>27.37</v>
      </c>
      <c r="I5">
        <f>IF(COUNTIFS(Daten[myth_id],4,Daten[Zielgruppe],selectedGroup,Daten[Bevölkerungsrelevanz Pkt.],"&lt;&gt;")=0,"",SUMIFS(Daten[Bevölkerungsrelevanz Pkt.],Daten[myth_id],4,Daten[Zielgruppe],selectedGroup))</f>
        <v>11.2</v>
      </c>
      <c r="J5">
        <f t="shared" si="0"/>
        <v>1</v>
      </c>
      <c r="K5">
        <f t="shared" si="1"/>
        <v>1</v>
      </c>
      <c r="L5">
        <f t="shared" si="2"/>
        <v>1</v>
      </c>
      <c r="M5">
        <f t="shared" si="3"/>
        <v>1</v>
      </c>
      <c r="N5">
        <f>CHOOSE(sortIdx,$A5,COUNTIF(Live!$B$2:$B$43,"&lt;"&amp;$B5)+1,COUNTIF(Live!$C$2:$C$43,"&lt;"&amp;$C5)+1,IFERROR(VLOOKUP($D5,Listen!$H$2:$I$6,2,FALSE()),99),$E5,$F5,$G5,$H5,$I5)</f>
        <v>4</v>
      </c>
      <c r="O5">
        <f t="shared" si="4"/>
        <v>4.0004999999999997</v>
      </c>
      <c r="P5">
        <f>IF($M5&lt;&gt;1,0,COUNTIFS(Live!$M$2:$M$43,1,Live!$O$2:$O$43,"&lt;"&amp;$O5)+1)</f>
        <v>4</v>
      </c>
    </row>
    <row r="6" spans="1:16" x14ac:dyDescent="0.25">
      <c r="A6">
        <v>5</v>
      </c>
      <c r="B6" t="s">
        <v>98</v>
      </c>
      <c r="C6" t="s">
        <v>62</v>
      </c>
      <c r="D6" t="s">
        <v>53</v>
      </c>
      <c r="E6">
        <f>IF(COUNTIFS(Daten[myth_id],5,Daten[Zielgruppe],selectedGroup,Daten[Kenntnis %],"&lt;&gt;")=0,"",SUMIFS(Daten[Kenntnis %],Daten[myth_id],5,Daten[Zielgruppe],selectedGroup))</f>
        <v>16.329999999999998</v>
      </c>
      <c r="F6">
        <f>IF(COUNTIFS(Daten[myth_id],5,Daten[Zielgruppe],selectedGroup,Daten[Bedeutung Pkt.],"&lt;&gt;")=0,"",SUMIFS(Daten[Bedeutung Pkt.],Daten[myth_id],5,Daten[Zielgruppe],selectedGroup))</f>
        <v>68.510000000000005</v>
      </c>
      <c r="G6">
        <f>IF(COUNTIFS(Daten[myth_id],5,Daten[Zielgruppe],selectedGroup,Daten[Richtigkeit Pkt.],"&lt;&gt;")=0,"",SUMIFS(Daten[Richtigkeit Pkt.],Daten[myth_id],5,Daten[Zielgruppe],selectedGroup))</f>
        <v>76.430000000000007</v>
      </c>
      <c r="H6">
        <f>IF(COUNTIFS(Daten[myth_id],5,Daten[Zielgruppe],selectedGroup,Daten[Präventionsbedeutung Pkt.],"&lt;&gt;")=0,"",SUMIFS(Daten[Präventionsbedeutung Pkt.],Daten[myth_id],5,Daten[Zielgruppe],selectedGroup))</f>
        <v>26.37</v>
      </c>
      <c r="I6">
        <f>IF(COUNTIFS(Daten[myth_id],5,Daten[Zielgruppe],selectedGroup,Daten[Bevölkerungsrelevanz Pkt.],"&lt;&gt;")=0,"",SUMIFS(Daten[Bevölkerungsrelevanz Pkt.],Daten[myth_id],5,Daten[Zielgruppe],selectedGroup))</f>
        <v>5.0999999999999996</v>
      </c>
      <c r="J6">
        <f t="shared" si="0"/>
        <v>1</v>
      </c>
      <c r="K6">
        <f t="shared" si="1"/>
        <v>1</v>
      </c>
      <c r="L6">
        <f t="shared" si="2"/>
        <v>1</v>
      </c>
      <c r="M6">
        <f t="shared" si="3"/>
        <v>1</v>
      </c>
      <c r="N6">
        <f>CHOOSE(sortIdx,$A6,COUNTIF(Live!$B$2:$B$43,"&lt;"&amp;$B6)+1,COUNTIF(Live!$C$2:$C$43,"&lt;"&amp;$C6)+1,IFERROR(VLOOKUP($D6,Listen!$H$2:$I$6,2,FALSE()),99),$E6,$F6,$G6,$H6,$I6)</f>
        <v>5</v>
      </c>
      <c r="O6">
        <f t="shared" si="4"/>
        <v>5.0006000000000004</v>
      </c>
      <c r="P6">
        <f>IF($M6&lt;&gt;1,0,COUNTIFS(Live!$M$2:$M$43,1,Live!$O$2:$O$43,"&lt;"&amp;$O6)+1)</f>
        <v>5</v>
      </c>
    </row>
    <row r="7" spans="1:16" x14ac:dyDescent="0.25">
      <c r="A7">
        <v>6</v>
      </c>
      <c r="B7" t="s">
        <v>101</v>
      </c>
      <c r="C7" t="s">
        <v>62</v>
      </c>
      <c r="D7" t="s">
        <v>53</v>
      </c>
      <c r="E7">
        <f>IF(COUNTIFS(Daten[myth_id],6,Daten[Zielgruppe],selectedGroup,Daten[Kenntnis %],"&lt;&gt;")=0,"",SUMIFS(Daten[Kenntnis %],Daten[myth_id],6,Daten[Zielgruppe],selectedGroup))</f>
        <v>43.75</v>
      </c>
      <c r="F7">
        <f>IF(COUNTIFS(Daten[myth_id],6,Daten[Zielgruppe],selectedGroup,Daten[Bedeutung Pkt.],"&lt;&gt;")=0,"",SUMIFS(Daten[Bedeutung Pkt.],Daten[myth_id],6,Daten[Zielgruppe],selectedGroup))</f>
        <v>77.02</v>
      </c>
      <c r="G7">
        <f>IF(COUNTIFS(Daten[myth_id],6,Daten[Zielgruppe],selectedGroup,Daten[Richtigkeit Pkt.],"&lt;&gt;")=0,"",SUMIFS(Daten[Richtigkeit Pkt.],Daten[myth_id],6,Daten[Zielgruppe],selectedGroup))</f>
        <v>88.97</v>
      </c>
      <c r="H7">
        <f>IF(COUNTIFS(Daten[myth_id],6,Daten[Zielgruppe],selectedGroup,Daten[Präventionsbedeutung Pkt.],"&lt;&gt;")=0,"",SUMIFS(Daten[Präventionsbedeutung Pkt.],Daten[myth_id],6,Daten[Zielgruppe],selectedGroup))</f>
        <v>21.93</v>
      </c>
      <c r="I7">
        <f>IF(COUNTIFS(Daten[myth_id],6,Daten[Zielgruppe],selectedGroup,Daten[Bevölkerungsrelevanz Pkt.],"&lt;&gt;")=0,"",SUMIFS(Daten[Bevölkerungsrelevanz Pkt.],Daten[myth_id],6,Daten[Zielgruppe],selectedGroup))</f>
        <v>11.7</v>
      </c>
      <c r="J7">
        <f t="shared" si="0"/>
        <v>1</v>
      </c>
      <c r="K7">
        <f t="shared" si="1"/>
        <v>1</v>
      </c>
      <c r="L7">
        <f t="shared" si="2"/>
        <v>1</v>
      </c>
      <c r="M7">
        <f t="shared" si="3"/>
        <v>1</v>
      </c>
      <c r="N7">
        <f>CHOOSE(sortIdx,$A7,COUNTIF(Live!$B$2:$B$43,"&lt;"&amp;$B7)+1,COUNTIF(Live!$C$2:$C$43,"&lt;"&amp;$C7)+1,IFERROR(VLOOKUP($D7,Listen!$H$2:$I$6,2,FALSE()),99),$E7,$F7,$G7,$H7,$I7)</f>
        <v>6</v>
      </c>
      <c r="O7">
        <f t="shared" si="4"/>
        <v>6.0007000000000001</v>
      </c>
      <c r="P7">
        <f>IF($M7&lt;&gt;1,0,COUNTIFS(Live!$M$2:$M$43,1,Live!$O$2:$O$43,"&lt;"&amp;$O7)+1)</f>
        <v>6</v>
      </c>
    </row>
    <row r="8" spans="1:16" x14ac:dyDescent="0.25">
      <c r="A8">
        <v>7</v>
      </c>
      <c r="B8" t="s">
        <v>104</v>
      </c>
      <c r="C8" t="s">
        <v>62</v>
      </c>
      <c r="D8" t="s">
        <v>53</v>
      </c>
      <c r="E8">
        <f>IF(COUNTIFS(Daten[myth_id],7,Daten[Zielgruppe],selectedGroup,Daten[Kenntnis %],"&lt;&gt;")=0,"",SUMIFS(Daten[Kenntnis %],Daten[myth_id],7,Daten[Zielgruppe],selectedGroup))</f>
        <v>35.06</v>
      </c>
      <c r="F8">
        <f>IF(COUNTIFS(Daten[myth_id],7,Daten[Zielgruppe],selectedGroup,Daten[Bedeutung Pkt.],"&lt;&gt;")=0,"",SUMIFS(Daten[Bedeutung Pkt.],Daten[myth_id],7,Daten[Zielgruppe],selectedGroup))</f>
        <v>76.489999999999995</v>
      </c>
      <c r="G8">
        <f>IF(COUNTIFS(Daten[myth_id],7,Daten[Zielgruppe],selectedGroup,Daten[Richtigkeit Pkt.],"&lt;&gt;")=0,"",SUMIFS(Daten[Richtigkeit Pkt.],Daten[myth_id],7,Daten[Zielgruppe],selectedGroup))</f>
        <v>85.7</v>
      </c>
      <c r="H8">
        <f>IF(COUNTIFS(Daten[myth_id],7,Daten[Zielgruppe],selectedGroup,Daten[Präventionsbedeutung Pkt.],"&lt;&gt;")=0,"",SUMIFS(Daten[Präventionsbedeutung Pkt.],Daten[myth_id],7,Daten[Zielgruppe],selectedGroup))</f>
        <v>24.05</v>
      </c>
      <c r="I8">
        <f>IF(COUNTIFS(Daten[myth_id],7,Daten[Zielgruppe],selectedGroup,Daten[Bevölkerungsrelevanz Pkt.],"&lt;&gt;")=0,"",SUMIFS(Daten[Bevölkerungsrelevanz Pkt.],Daten[myth_id],7,Daten[Zielgruppe],selectedGroup))</f>
        <v>10.1</v>
      </c>
      <c r="J8">
        <f t="shared" si="0"/>
        <v>1</v>
      </c>
      <c r="K8">
        <f t="shared" si="1"/>
        <v>1</v>
      </c>
      <c r="L8">
        <f t="shared" si="2"/>
        <v>1</v>
      </c>
      <c r="M8">
        <f t="shared" si="3"/>
        <v>1</v>
      </c>
      <c r="N8">
        <f>CHOOSE(sortIdx,$A8,COUNTIF(Live!$B$2:$B$43,"&lt;"&amp;$B8)+1,COUNTIF(Live!$C$2:$C$43,"&lt;"&amp;$C8)+1,IFERROR(VLOOKUP($D8,Listen!$H$2:$I$6,2,FALSE()),99),$E8,$F8,$G8,$H8,$I8)</f>
        <v>7</v>
      </c>
      <c r="O8">
        <f t="shared" si="4"/>
        <v>7.0007999999999999</v>
      </c>
      <c r="P8">
        <f>IF($M8&lt;&gt;1,0,COUNTIFS(Live!$M$2:$M$43,1,Live!$O$2:$O$43,"&lt;"&amp;$O8)+1)</f>
        <v>7</v>
      </c>
    </row>
    <row r="9" spans="1:16" x14ac:dyDescent="0.25">
      <c r="A9">
        <v>8</v>
      </c>
      <c r="B9" t="s">
        <v>107</v>
      </c>
      <c r="C9" t="s">
        <v>65</v>
      </c>
      <c r="D9" t="s">
        <v>53</v>
      </c>
      <c r="E9">
        <f>IF(COUNTIFS(Daten[myth_id],8,Daten[Zielgruppe],selectedGroup,Daten[Kenntnis %],"&lt;&gt;")=0,"",SUMIFS(Daten[Kenntnis %],Daten[myth_id],8,Daten[Zielgruppe],selectedGroup))</f>
        <v>42.35</v>
      </c>
      <c r="F9">
        <f>IF(COUNTIFS(Daten[myth_id],8,Daten[Zielgruppe],selectedGroup,Daten[Bedeutung Pkt.],"&lt;&gt;")=0,"",SUMIFS(Daten[Bedeutung Pkt.],Daten[myth_id],8,Daten[Zielgruppe],selectedGroup))</f>
        <v>76.489999999999995</v>
      </c>
      <c r="G9">
        <f>IF(COUNTIFS(Daten[myth_id],8,Daten[Zielgruppe],selectedGroup,Daten[Richtigkeit Pkt.],"&lt;&gt;")=0,"",SUMIFS(Daten[Richtigkeit Pkt.],Daten[myth_id],8,Daten[Zielgruppe],selectedGroup))</f>
        <v>89.87</v>
      </c>
      <c r="H9">
        <f>IF(COUNTIFS(Daten[myth_id],8,Daten[Zielgruppe],selectedGroup,Daten[Präventionsbedeutung Pkt.],"&lt;&gt;")=0,"",SUMIFS(Daten[Präventionsbedeutung Pkt.],Daten[myth_id],8,Daten[Zielgruppe],selectedGroup))</f>
        <v>21.16</v>
      </c>
      <c r="I9">
        <f>IF(COUNTIFS(Daten[myth_id],8,Daten[Zielgruppe],selectedGroup,Daten[Bevölkerungsrelevanz Pkt.],"&lt;&gt;")=0,"",SUMIFS(Daten[Bevölkerungsrelevanz Pkt.],Daten[myth_id],8,Daten[Zielgruppe],selectedGroup))</f>
        <v>11</v>
      </c>
      <c r="J9">
        <f t="shared" si="0"/>
        <v>1</v>
      </c>
      <c r="K9">
        <f t="shared" si="1"/>
        <v>1</v>
      </c>
      <c r="L9">
        <f t="shared" si="2"/>
        <v>1</v>
      </c>
      <c r="M9">
        <f t="shared" si="3"/>
        <v>1</v>
      </c>
      <c r="N9">
        <f>CHOOSE(sortIdx,$A9,COUNTIF(Live!$B$2:$B$43,"&lt;"&amp;$B9)+1,COUNTIF(Live!$C$2:$C$43,"&lt;"&amp;$C9)+1,IFERROR(VLOOKUP($D9,Listen!$H$2:$I$6,2,FALSE()),99),$E9,$F9,$G9,$H9,$I9)</f>
        <v>8</v>
      </c>
      <c r="O9">
        <f t="shared" si="4"/>
        <v>8.0008999999999997</v>
      </c>
      <c r="P9">
        <f>IF($M9&lt;&gt;1,0,COUNTIFS(Live!$M$2:$M$43,1,Live!$O$2:$O$43,"&lt;"&amp;$O9)+1)</f>
        <v>8</v>
      </c>
    </row>
    <row r="10" spans="1:16" x14ac:dyDescent="0.25">
      <c r="A10">
        <v>9</v>
      </c>
      <c r="B10" t="s">
        <v>110</v>
      </c>
      <c r="C10" t="s">
        <v>62</v>
      </c>
      <c r="D10" t="s">
        <v>53</v>
      </c>
      <c r="E10">
        <f>IF(COUNTIFS(Daten[myth_id],9,Daten[Zielgruppe],selectedGroup,Daten[Kenntnis %],"&lt;&gt;")=0,"",SUMIFS(Daten[Kenntnis %],Daten[myth_id],9,Daten[Zielgruppe],selectedGroup))</f>
        <v>20.71</v>
      </c>
      <c r="F10">
        <f>IF(COUNTIFS(Daten[myth_id],9,Daten[Zielgruppe],selectedGroup,Daten[Bedeutung Pkt.],"&lt;&gt;")=0,"",SUMIFS(Daten[Bedeutung Pkt.],Daten[myth_id],9,Daten[Zielgruppe],selectedGroup))</f>
        <v>66.53</v>
      </c>
      <c r="G10">
        <f>IF(COUNTIFS(Daten[myth_id],9,Daten[Zielgruppe],selectedGroup,Daten[Richtigkeit Pkt.],"&lt;&gt;")=0,"",SUMIFS(Daten[Richtigkeit Pkt.],Daten[myth_id],9,Daten[Zielgruppe],selectedGroup))</f>
        <v>74.3</v>
      </c>
      <c r="H10">
        <f>IF(COUNTIFS(Daten[myth_id],9,Daten[Zielgruppe],selectedGroup,Daten[Präventionsbedeutung Pkt.],"&lt;&gt;")=0,"",SUMIFS(Daten[Präventionsbedeutung Pkt.],Daten[myth_id],9,Daten[Zielgruppe],selectedGroup))</f>
        <v>27.58</v>
      </c>
      <c r="I10">
        <f>IF(COUNTIFS(Daten[myth_id],9,Daten[Zielgruppe],selectedGroup,Daten[Bevölkerungsrelevanz Pkt.],"&lt;&gt;")=0,"",SUMIFS(Daten[Bevölkerungsrelevanz Pkt.],Daten[myth_id],9,Daten[Zielgruppe],selectedGroup))</f>
        <v>6.6</v>
      </c>
      <c r="J10">
        <f t="shared" si="0"/>
        <v>1</v>
      </c>
      <c r="K10">
        <f t="shared" si="1"/>
        <v>1</v>
      </c>
      <c r="L10">
        <f t="shared" si="2"/>
        <v>1</v>
      </c>
      <c r="M10">
        <f t="shared" si="3"/>
        <v>1</v>
      </c>
      <c r="N10">
        <f>CHOOSE(sortIdx,$A10,COUNTIF(Live!$B$2:$B$43,"&lt;"&amp;$B10)+1,COUNTIF(Live!$C$2:$C$43,"&lt;"&amp;$C10)+1,IFERROR(VLOOKUP($D10,Listen!$H$2:$I$6,2,FALSE()),99),$E10,$F10,$G10,$H10,$I10)</f>
        <v>9</v>
      </c>
      <c r="O10">
        <f t="shared" si="4"/>
        <v>9.0009999999999994</v>
      </c>
      <c r="P10">
        <f>IF($M10&lt;&gt;1,0,COUNTIFS(Live!$M$2:$M$43,1,Live!$O$2:$O$43,"&lt;"&amp;$O10)+1)</f>
        <v>9</v>
      </c>
    </row>
    <row r="11" spans="1:16" x14ac:dyDescent="0.25">
      <c r="A11">
        <v>10</v>
      </c>
      <c r="B11" t="s">
        <v>113</v>
      </c>
      <c r="C11" t="s">
        <v>55</v>
      </c>
      <c r="D11" t="s">
        <v>60</v>
      </c>
      <c r="E11">
        <f>IF(COUNTIFS(Daten[myth_id],10,Daten[Zielgruppe],selectedGroup,Daten[Kenntnis %],"&lt;&gt;")=0,"",SUMIFS(Daten[Kenntnis %],Daten[myth_id],10,Daten[Zielgruppe],selectedGroup))</f>
        <v>68.28</v>
      </c>
      <c r="F11">
        <f>IF(COUNTIFS(Daten[myth_id],10,Daten[Zielgruppe],selectedGroup,Daten[Bedeutung Pkt.],"&lt;&gt;")=0,"",SUMIFS(Daten[Bedeutung Pkt.],Daten[myth_id],10,Daten[Zielgruppe],selectedGroup))</f>
        <v>70.260000000000005</v>
      </c>
      <c r="G11">
        <f>IF(COUNTIFS(Daten[myth_id],10,Daten[Zielgruppe],selectedGroup,Daten[Richtigkeit Pkt.],"&lt;&gt;")=0,"",SUMIFS(Daten[Richtigkeit Pkt.],Daten[myth_id],10,Daten[Zielgruppe],selectedGroup))</f>
        <v>49.74</v>
      </c>
      <c r="H11">
        <f>IF(COUNTIFS(Daten[myth_id],10,Daten[Zielgruppe],selectedGroup,Daten[Präventionsbedeutung Pkt.],"&lt;&gt;")=0,"",SUMIFS(Daten[Präventionsbedeutung Pkt.],Daten[myth_id],10,Daten[Zielgruppe],selectedGroup))</f>
        <v>46.58</v>
      </c>
      <c r="I11">
        <f>IF(COUNTIFS(Daten[myth_id],10,Daten[Zielgruppe],selectedGroup,Daten[Bevölkerungsrelevanz Pkt.],"&lt;&gt;")=0,"",SUMIFS(Daten[Bevölkerungsrelevanz Pkt.],Daten[myth_id],10,Daten[Zielgruppe],selectedGroup))</f>
        <v>34.1</v>
      </c>
      <c r="J11">
        <f t="shared" si="0"/>
        <v>1</v>
      </c>
      <c r="K11">
        <f t="shared" si="1"/>
        <v>1</v>
      </c>
      <c r="L11">
        <f t="shared" si="2"/>
        <v>1</v>
      </c>
      <c r="M11">
        <f t="shared" si="3"/>
        <v>1</v>
      </c>
      <c r="N11">
        <f>CHOOSE(sortIdx,$A11,COUNTIF(Live!$B$2:$B$43,"&lt;"&amp;$B11)+1,COUNTIF(Live!$C$2:$C$43,"&lt;"&amp;$C11)+1,IFERROR(VLOOKUP($D11,Listen!$H$2:$I$6,2,FALSE()),99),$E11,$F11,$G11,$H11,$I11)</f>
        <v>10</v>
      </c>
      <c r="O11">
        <f t="shared" si="4"/>
        <v>10.001099999999999</v>
      </c>
      <c r="P11">
        <f>IF($M11&lt;&gt;1,0,COUNTIFS(Live!$M$2:$M$43,1,Live!$O$2:$O$43,"&lt;"&amp;$O11)+1)</f>
        <v>10</v>
      </c>
    </row>
    <row r="12" spans="1:16" x14ac:dyDescent="0.25">
      <c r="A12">
        <v>11</v>
      </c>
      <c r="B12" t="s">
        <v>116</v>
      </c>
      <c r="C12" t="s">
        <v>65</v>
      </c>
      <c r="D12" t="s">
        <v>53</v>
      </c>
      <c r="E12">
        <f>IF(COUNTIFS(Daten[myth_id],11,Daten[Zielgruppe],selectedGroup,Daten[Kenntnis %],"&lt;&gt;")=0,"",SUMIFS(Daten[Kenntnis %],Daten[myth_id],11,Daten[Zielgruppe],selectedGroup))</f>
        <v>17.95</v>
      </c>
      <c r="F12">
        <f>IF(COUNTIFS(Daten[myth_id],11,Daten[Zielgruppe],selectedGroup,Daten[Bedeutung Pkt.],"&lt;&gt;")=0,"",SUMIFS(Daten[Bedeutung Pkt.],Daten[myth_id],11,Daten[Zielgruppe],selectedGroup))</f>
        <v>60.15</v>
      </c>
      <c r="G12">
        <f>IF(COUNTIFS(Daten[myth_id],11,Daten[Zielgruppe],selectedGroup,Daten[Richtigkeit Pkt.],"&lt;&gt;")=0,"",SUMIFS(Daten[Richtigkeit Pkt.],Daten[myth_id],11,Daten[Zielgruppe],selectedGroup))</f>
        <v>71.89</v>
      </c>
      <c r="H12">
        <f>IF(COUNTIFS(Daten[myth_id],11,Daten[Zielgruppe],selectedGroup,Daten[Präventionsbedeutung Pkt.],"&lt;&gt;")=0,"",SUMIFS(Daten[Präventionsbedeutung Pkt.],Daten[myth_id],11,Daten[Zielgruppe],selectedGroup))</f>
        <v>25.78</v>
      </c>
      <c r="I12">
        <f>IF(COUNTIFS(Daten[myth_id],11,Daten[Zielgruppe],selectedGroup,Daten[Bevölkerungsrelevanz Pkt.],"&lt;&gt;")=0,"",SUMIFS(Daten[Bevölkerungsrelevanz Pkt.],Daten[myth_id],11,Daten[Zielgruppe],selectedGroup))</f>
        <v>5.5</v>
      </c>
      <c r="J12">
        <f t="shared" si="0"/>
        <v>1</v>
      </c>
      <c r="K12">
        <f t="shared" si="1"/>
        <v>1</v>
      </c>
      <c r="L12">
        <f t="shared" si="2"/>
        <v>1</v>
      </c>
      <c r="M12">
        <f t="shared" si="3"/>
        <v>1</v>
      </c>
      <c r="N12">
        <f>CHOOSE(sortIdx,$A12,COUNTIF(Live!$B$2:$B$43,"&lt;"&amp;$B12)+1,COUNTIF(Live!$C$2:$C$43,"&lt;"&amp;$C12)+1,IFERROR(VLOOKUP($D12,Listen!$H$2:$I$6,2,FALSE()),99),$E12,$F12,$G12,$H12,$I12)</f>
        <v>11</v>
      </c>
      <c r="O12">
        <f t="shared" si="4"/>
        <v>11.001200000000001</v>
      </c>
      <c r="P12">
        <f>IF($M12&lt;&gt;1,0,COUNTIFS(Live!$M$2:$M$43,1,Live!$O$2:$O$43,"&lt;"&amp;$O12)+1)</f>
        <v>11</v>
      </c>
    </row>
    <row r="13" spans="1:16" x14ac:dyDescent="0.25">
      <c r="A13">
        <v>12</v>
      </c>
      <c r="B13" t="s">
        <v>119</v>
      </c>
      <c r="C13" t="s">
        <v>55</v>
      </c>
      <c r="D13" t="s">
        <v>66</v>
      </c>
      <c r="E13">
        <f>IF(COUNTIFS(Daten[myth_id],12,Daten[Zielgruppe],selectedGroup,Daten[Kenntnis %],"&lt;&gt;")=0,"",SUMIFS(Daten[Kenntnis %],Daten[myth_id],12,Daten[Zielgruppe],selectedGroup))</f>
        <v>23.28</v>
      </c>
      <c r="F13">
        <f>IF(COUNTIFS(Daten[myth_id],12,Daten[Zielgruppe],selectedGroup,Daten[Bedeutung Pkt.],"&lt;&gt;")=0,"",SUMIFS(Daten[Bedeutung Pkt.],Daten[myth_id],12,Daten[Zielgruppe],selectedGroup))</f>
        <v>69.36</v>
      </c>
      <c r="G13" t="str">
        <f>IF(COUNTIFS(Daten[myth_id],12,Daten[Zielgruppe],selectedGroup,Daten[Richtigkeit Pkt.],"&lt;&gt;")=0,"",SUMIFS(Daten[Richtigkeit Pkt.],Daten[myth_id],12,Daten[Zielgruppe],selectedGroup))</f>
        <v/>
      </c>
      <c r="H13" t="str">
        <f>IF(COUNTIFS(Daten[myth_id],12,Daten[Zielgruppe],selectedGroup,Daten[Präventionsbedeutung Pkt.],"&lt;&gt;")=0,"",SUMIFS(Daten[Präventionsbedeutung Pkt.],Daten[myth_id],12,Daten[Zielgruppe],selectedGroup))</f>
        <v/>
      </c>
      <c r="I13" t="str">
        <f>IF(COUNTIFS(Daten[myth_id],12,Daten[Zielgruppe],selectedGroup,Daten[Bevölkerungsrelevanz Pkt.],"&lt;&gt;")=0,"",SUMIFS(Daten[Bevölkerungsrelevanz Pkt.],Daten[myth_id],12,Daten[Zielgruppe],selectedGroup))</f>
        <v/>
      </c>
      <c r="J13">
        <f t="shared" si="0"/>
        <v>1</v>
      </c>
      <c r="K13">
        <f t="shared" si="1"/>
        <v>1</v>
      </c>
      <c r="L13">
        <f t="shared" si="2"/>
        <v>1</v>
      </c>
      <c r="M13">
        <f t="shared" si="3"/>
        <v>1</v>
      </c>
      <c r="N13">
        <f>CHOOSE(sortIdx,$A13,COUNTIF(Live!$B$2:$B$43,"&lt;"&amp;$B13)+1,COUNTIF(Live!$C$2:$C$43,"&lt;"&amp;$C13)+1,IFERROR(VLOOKUP($D13,Listen!$H$2:$I$6,2,FALSE()),99),$E13,$F13,$G13,$H13,$I13)</f>
        <v>12</v>
      </c>
      <c r="O13">
        <f t="shared" si="4"/>
        <v>12.001300000000001</v>
      </c>
      <c r="P13">
        <f>IF($M13&lt;&gt;1,0,COUNTIFS(Live!$M$2:$M$43,1,Live!$O$2:$O$43,"&lt;"&amp;$O13)+1)</f>
        <v>12</v>
      </c>
    </row>
    <row r="14" spans="1:16" x14ac:dyDescent="0.25">
      <c r="A14">
        <v>13</v>
      </c>
      <c r="B14" t="s">
        <v>122</v>
      </c>
      <c r="C14" t="s">
        <v>55</v>
      </c>
      <c r="D14" t="s">
        <v>53</v>
      </c>
      <c r="E14">
        <f>IF(COUNTIFS(Daten[myth_id],13,Daten[Zielgruppe],selectedGroup,Daten[Kenntnis %],"&lt;&gt;")=0,"",SUMIFS(Daten[Kenntnis %],Daten[myth_id],13,Daten[Zielgruppe],selectedGroup))</f>
        <v>28.64</v>
      </c>
      <c r="F14">
        <f>IF(COUNTIFS(Daten[myth_id],13,Daten[Zielgruppe],selectedGroup,Daten[Bedeutung Pkt.],"&lt;&gt;")=0,"",SUMIFS(Daten[Bedeutung Pkt.],Daten[myth_id],13,Daten[Zielgruppe],selectedGroup))</f>
        <v>59.71</v>
      </c>
      <c r="G14">
        <f>IF(COUNTIFS(Daten[myth_id],13,Daten[Zielgruppe],selectedGroup,Daten[Richtigkeit Pkt.],"&lt;&gt;")=0,"",SUMIFS(Daten[Richtigkeit Pkt.],Daten[myth_id],13,Daten[Zielgruppe],selectedGroup))</f>
        <v>78.319999999999993</v>
      </c>
      <c r="H14">
        <f>IF(COUNTIFS(Daten[myth_id],13,Daten[Zielgruppe],selectedGroup,Daten[Präventionsbedeutung Pkt.],"&lt;&gt;")=0,"",SUMIFS(Daten[Präventionsbedeutung Pkt.],Daten[myth_id],13,Daten[Zielgruppe],selectedGroup))</f>
        <v>22.81</v>
      </c>
      <c r="I14">
        <f>IF(COUNTIFS(Daten[myth_id],13,Daten[Zielgruppe],selectedGroup,Daten[Bevölkerungsrelevanz Pkt.],"&lt;&gt;")=0,"",SUMIFS(Daten[Bevölkerungsrelevanz Pkt.],Daten[myth_id],13,Daten[Zielgruppe],selectedGroup))</f>
        <v>7.9</v>
      </c>
      <c r="J14">
        <f t="shared" si="0"/>
        <v>1</v>
      </c>
      <c r="K14">
        <f t="shared" si="1"/>
        <v>1</v>
      </c>
      <c r="L14">
        <f t="shared" si="2"/>
        <v>1</v>
      </c>
      <c r="M14">
        <f t="shared" si="3"/>
        <v>1</v>
      </c>
      <c r="N14">
        <f>CHOOSE(sortIdx,$A14,COUNTIF(Live!$B$2:$B$43,"&lt;"&amp;$B14)+1,COUNTIF(Live!$C$2:$C$43,"&lt;"&amp;$C14)+1,IFERROR(VLOOKUP($D14,Listen!$H$2:$I$6,2,FALSE()),99),$E14,$F14,$G14,$H14,$I14)</f>
        <v>13</v>
      </c>
      <c r="O14">
        <f t="shared" si="4"/>
        <v>13.0014</v>
      </c>
      <c r="P14">
        <f>IF($M14&lt;&gt;1,0,COUNTIFS(Live!$M$2:$M$43,1,Live!$O$2:$O$43,"&lt;"&amp;$O14)+1)</f>
        <v>13</v>
      </c>
    </row>
    <row r="15" spans="1:16" x14ac:dyDescent="0.25">
      <c r="A15">
        <v>14</v>
      </c>
      <c r="B15" t="s">
        <v>125</v>
      </c>
      <c r="C15" t="s">
        <v>65</v>
      </c>
      <c r="D15" t="s">
        <v>53</v>
      </c>
      <c r="E15">
        <f>IF(COUNTIFS(Daten[myth_id],14,Daten[Zielgruppe],selectedGroup,Daten[Kenntnis %],"&lt;&gt;")=0,"",SUMIFS(Daten[Kenntnis %],Daten[myth_id],14,Daten[Zielgruppe],selectedGroup))</f>
        <v>14.96</v>
      </c>
      <c r="F15">
        <f>IF(COUNTIFS(Daten[myth_id],14,Daten[Zielgruppe],selectedGroup,Daten[Bedeutung Pkt.],"&lt;&gt;")=0,"",SUMIFS(Daten[Bedeutung Pkt.],Daten[myth_id],14,Daten[Zielgruppe],selectedGroup))</f>
        <v>75.94</v>
      </c>
      <c r="G15">
        <f>IF(COUNTIFS(Daten[myth_id],14,Daten[Zielgruppe],selectedGroup,Daten[Richtigkeit Pkt.],"&lt;&gt;")=0,"",SUMIFS(Daten[Richtigkeit Pkt.],Daten[myth_id],14,Daten[Zielgruppe],selectedGroup))</f>
        <v>76.209999999999994</v>
      </c>
      <c r="H15">
        <f>IF(COUNTIFS(Daten[myth_id],14,Daten[Zielgruppe],selectedGroup,Daten[Präventionsbedeutung Pkt.],"&lt;&gt;")=0,"",SUMIFS(Daten[Präventionsbedeutung Pkt.],Daten[myth_id],14,Daten[Zielgruppe],selectedGroup))</f>
        <v>29.92</v>
      </c>
      <c r="I15">
        <f>IF(COUNTIFS(Daten[myth_id],14,Daten[Zielgruppe],selectedGroup,Daten[Bevölkerungsrelevanz Pkt.],"&lt;&gt;")=0,"",SUMIFS(Daten[Bevölkerungsrelevanz Pkt.],Daten[myth_id],14,Daten[Zielgruppe],selectedGroup))</f>
        <v>5.0999999999999996</v>
      </c>
      <c r="J15">
        <f t="shared" si="0"/>
        <v>1</v>
      </c>
      <c r="K15">
        <f t="shared" si="1"/>
        <v>1</v>
      </c>
      <c r="L15">
        <f t="shared" si="2"/>
        <v>1</v>
      </c>
      <c r="M15">
        <f t="shared" si="3"/>
        <v>1</v>
      </c>
      <c r="N15">
        <f>CHOOSE(sortIdx,$A15,COUNTIF(Live!$B$2:$B$43,"&lt;"&amp;$B15)+1,COUNTIF(Live!$C$2:$C$43,"&lt;"&amp;$C15)+1,IFERROR(VLOOKUP($D15,Listen!$H$2:$I$6,2,FALSE()),99),$E15,$F15,$G15,$H15,$I15)</f>
        <v>14</v>
      </c>
      <c r="O15">
        <f t="shared" si="4"/>
        <v>14.0015</v>
      </c>
      <c r="P15">
        <f>IF($M15&lt;&gt;1,0,COUNTIFS(Live!$M$2:$M$43,1,Live!$O$2:$O$43,"&lt;"&amp;$O15)+1)</f>
        <v>14</v>
      </c>
    </row>
    <row r="16" spans="1:16" x14ac:dyDescent="0.25">
      <c r="A16">
        <v>15</v>
      </c>
      <c r="B16" t="s">
        <v>128</v>
      </c>
      <c r="C16" t="s">
        <v>65</v>
      </c>
      <c r="D16" t="s">
        <v>53</v>
      </c>
      <c r="E16">
        <f>IF(COUNTIFS(Daten[myth_id],15,Daten[Zielgruppe],selectedGroup,Daten[Kenntnis %],"&lt;&gt;")=0,"",SUMIFS(Daten[Kenntnis %],Daten[myth_id],15,Daten[Zielgruppe],selectedGroup))</f>
        <v>16.03</v>
      </c>
      <c r="F16">
        <f>IF(COUNTIFS(Daten[myth_id],15,Daten[Zielgruppe],selectedGroup,Daten[Bedeutung Pkt.],"&lt;&gt;")=0,"",SUMIFS(Daten[Bedeutung Pkt.],Daten[myth_id],15,Daten[Zielgruppe],selectedGroup))</f>
        <v>69.73</v>
      </c>
      <c r="G16">
        <f>IF(COUNTIFS(Daten[myth_id],15,Daten[Zielgruppe],selectedGroup,Daten[Richtigkeit Pkt.],"&lt;&gt;")=0,"",SUMIFS(Daten[Richtigkeit Pkt.],Daten[myth_id],15,Daten[Zielgruppe],selectedGroup))</f>
        <v>78.8</v>
      </c>
      <c r="H16">
        <f>IF(COUNTIFS(Daten[myth_id],15,Daten[Zielgruppe],selectedGroup,Daten[Präventionsbedeutung Pkt.],"&lt;&gt;")=0,"",SUMIFS(Daten[Präventionsbedeutung Pkt.],Daten[myth_id],15,Daten[Zielgruppe],selectedGroup))</f>
        <v>25.72</v>
      </c>
      <c r="I16">
        <f>IF(COUNTIFS(Daten[myth_id],15,Daten[Zielgruppe],selectedGroup,Daten[Bevölkerungsrelevanz Pkt.],"&lt;&gt;")=0,"",SUMIFS(Daten[Bevölkerungsrelevanz Pkt.],Daten[myth_id],15,Daten[Zielgruppe],selectedGroup))</f>
        <v>4.9000000000000004</v>
      </c>
      <c r="J16">
        <f t="shared" si="0"/>
        <v>1</v>
      </c>
      <c r="K16">
        <f t="shared" si="1"/>
        <v>1</v>
      </c>
      <c r="L16">
        <f t="shared" si="2"/>
        <v>1</v>
      </c>
      <c r="M16">
        <f t="shared" si="3"/>
        <v>1</v>
      </c>
      <c r="N16">
        <f>CHOOSE(sortIdx,$A16,COUNTIF(Live!$B$2:$B$43,"&lt;"&amp;$B16)+1,COUNTIF(Live!$C$2:$C$43,"&lt;"&amp;$C16)+1,IFERROR(VLOOKUP($D16,Listen!$H$2:$I$6,2,FALSE()),99),$E16,$F16,$G16,$H16,$I16)</f>
        <v>15</v>
      </c>
      <c r="O16">
        <f t="shared" si="4"/>
        <v>15.0016</v>
      </c>
      <c r="P16">
        <f>IF($M16&lt;&gt;1,0,COUNTIFS(Live!$M$2:$M$43,1,Live!$O$2:$O$43,"&lt;"&amp;$O16)+1)</f>
        <v>15</v>
      </c>
    </row>
    <row r="17" spans="1:16" x14ac:dyDescent="0.25">
      <c r="A17">
        <v>16</v>
      </c>
      <c r="B17" t="s">
        <v>131</v>
      </c>
      <c r="C17" t="s">
        <v>65</v>
      </c>
      <c r="D17" t="s">
        <v>53</v>
      </c>
      <c r="E17">
        <f>IF(COUNTIFS(Daten[myth_id],16,Daten[Zielgruppe],selectedGroup,Daten[Kenntnis %],"&lt;&gt;")=0,"",SUMIFS(Daten[Kenntnis %],Daten[myth_id],16,Daten[Zielgruppe],selectedGroup))</f>
        <v>10.119999999999999</v>
      </c>
      <c r="F17">
        <f>IF(COUNTIFS(Daten[myth_id],16,Daten[Zielgruppe],selectedGroup,Daten[Bedeutung Pkt.],"&lt;&gt;")=0,"",SUMIFS(Daten[Bedeutung Pkt.],Daten[myth_id],16,Daten[Zielgruppe],selectedGroup))</f>
        <v>72.33</v>
      </c>
      <c r="G17">
        <f>IF(COUNTIFS(Daten[myth_id],16,Daten[Zielgruppe],selectedGroup,Daten[Richtigkeit Pkt.],"&lt;&gt;")=0,"",SUMIFS(Daten[Richtigkeit Pkt.],Daten[myth_id],16,Daten[Zielgruppe],selectedGroup))</f>
        <v>73.59</v>
      </c>
      <c r="H17">
        <f>IF(COUNTIFS(Daten[myth_id],16,Daten[Zielgruppe],selectedGroup,Daten[Präventionsbedeutung Pkt.],"&lt;&gt;")=0,"",SUMIFS(Daten[Präventionsbedeutung Pkt.],Daten[myth_id],16,Daten[Zielgruppe],selectedGroup))</f>
        <v>29.95</v>
      </c>
      <c r="I17">
        <f>IF(COUNTIFS(Daten[myth_id],16,Daten[Zielgruppe],selectedGroup,Daten[Bevölkerungsrelevanz Pkt.],"&lt;&gt;")=0,"",SUMIFS(Daten[Bevölkerungsrelevanz Pkt.],Daten[myth_id],16,Daten[Zielgruppe],selectedGroup))</f>
        <v>3.5</v>
      </c>
      <c r="J17">
        <f t="shared" si="0"/>
        <v>1</v>
      </c>
      <c r="K17">
        <f t="shared" si="1"/>
        <v>1</v>
      </c>
      <c r="L17">
        <f t="shared" si="2"/>
        <v>1</v>
      </c>
      <c r="M17">
        <f t="shared" si="3"/>
        <v>1</v>
      </c>
      <c r="N17">
        <f>CHOOSE(sortIdx,$A17,COUNTIF(Live!$B$2:$B$43,"&lt;"&amp;$B17)+1,COUNTIF(Live!$C$2:$C$43,"&lt;"&amp;$C17)+1,IFERROR(VLOOKUP($D17,Listen!$H$2:$I$6,2,FALSE()),99),$E17,$F17,$G17,$H17,$I17)</f>
        <v>16</v>
      </c>
      <c r="O17">
        <f t="shared" si="4"/>
        <v>16.0017</v>
      </c>
      <c r="P17">
        <f>IF($M17&lt;&gt;1,0,COUNTIFS(Live!$M$2:$M$43,1,Live!$O$2:$O$43,"&lt;"&amp;$O17)+1)</f>
        <v>16</v>
      </c>
    </row>
    <row r="18" spans="1:16" x14ac:dyDescent="0.25">
      <c r="A18">
        <v>17</v>
      </c>
      <c r="B18" t="s">
        <v>134</v>
      </c>
      <c r="C18" t="s">
        <v>55</v>
      </c>
      <c r="D18" t="s">
        <v>66</v>
      </c>
      <c r="E18">
        <f>IF(COUNTIFS(Daten[myth_id],17,Daten[Zielgruppe],selectedGroup,Daten[Kenntnis %],"&lt;&gt;")=0,"",SUMIFS(Daten[Kenntnis %],Daten[myth_id],17,Daten[Zielgruppe],selectedGroup))</f>
        <v>5.55</v>
      </c>
      <c r="F18">
        <f>IF(COUNTIFS(Daten[myth_id],17,Daten[Zielgruppe],selectedGroup,Daten[Bedeutung Pkt.],"&lt;&gt;")=0,"",SUMIFS(Daten[Bedeutung Pkt.],Daten[myth_id],17,Daten[Zielgruppe],selectedGroup))</f>
        <v>48.94</v>
      </c>
      <c r="G18" t="str">
        <f>IF(COUNTIFS(Daten[myth_id],17,Daten[Zielgruppe],selectedGroup,Daten[Richtigkeit Pkt.],"&lt;&gt;")=0,"",SUMIFS(Daten[Richtigkeit Pkt.],Daten[myth_id],17,Daten[Zielgruppe],selectedGroup))</f>
        <v/>
      </c>
      <c r="H18" t="str">
        <f>IF(COUNTIFS(Daten[myth_id],17,Daten[Zielgruppe],selectedGroup,Daten[Präventionsbedeutung Pkt.],"&lt;&gt;")=0,"",SUMIFS(Daten[Präventionsbedeutung Pkt.],Daten[myth_id],17,Daten[Zielgruppe],selectedGroup))</f>
        <v/>
      </c>
      <c r="I18" t="str">
        <f>IF(COUNTIFS(Daten[myth_id],17,Daten[Zielgruppe],selectedGroup,Daten[Bevölkerungsrelevanz Pkt.],"&lt;&gt;")=0,"",SUMIFS(Daten[Bevölkerungsrelevanz Pkt.],Daten[myth_id],17,Daten[Zielgruppe],selectedGroup))</f>
        <v/>
      </c>
      <c r="J18">
        <f t="shared" si="0"/>
        <v>1</v>
      </c>
      <c r="K18">
        <f t="shared" si="1"/>
        <v>1</v>
      </c>
      <c r="L18">
        <f t="shared" si="2"/>
        <v>1</v>
      </c>
      <c r="M18">
        <f t="shared" si="3"/>
        <v>1</v>
      </c>
      <c r="N18">
        <f>CHOOSE(sortIdx,$A18,COUNTIF(Live!$B$2:$B$43,"&lt;"&amp;$B18)+1,COUNTIF(Live!$C$2:$C$43,"&lt;"&amp;$C18)+1,IFERROR(VLOOKUP($D18,Listen!$H$2:$I$6,2,FALSE()),99),$E18,$F18,$G18,$H18,$I18)</f>
        <v>17</v>
      </c>
      <c r="O18">
        <f t="shared" si="4"/>
        <v>17.001799999999999</v>
      </c>
      <c r="P18">
        <f>IF($M18&lt;&gt;1,0,COUNTIFS(Live!$M$2:$M$43,1,Live!$O$2:$O$43,"&lt;"&amp;$O18)+1)</f>
        <v>17</v>
      </c>
    </row>
    <row r="19" spans="1:16" x14ac:dyDescent="0.25">
      <c r="A19">
        <v>18</v>
      </c>
      <c r="B19" t="s">
        <v>137</v>
      </c>
      <c r="C19" t="s">
        <v>55</v>
      </c>
      <c r="D19" t="s">
        <v>60</v>
      </c>
      <c r="E19">
        <f>IF(COUNTIFS(Daten[myth_id],18,Daten[Zielgruppe],selectedGroup,Daten[Kenntnis %],"&lt;&gt;")=0,"",SUMIFS(Daten[Kenntnis %],Daten[myth_id],18,Daten[Zielgruppe],selectedGroup))</f>
        <v>38.630000000000003</v>
      </c>
      <c r="F19">
        <f>IF(COUNTIFS(Daten[myth_id],18,Daten[Zielgruppe],selectedGroup,Daten[Bedeutung Pkt.],"&lt;&gt;")=0,"",SUMIFS(Daten[Bedeutung Pkt.],Daten[myth_id],18,Daten[Zielgruppe],selectedGroup))</f>
        <v>61.87</v>
      </c>
      <c r="G19">
        <f>IF(COUNTIFS(Daten[myth_id],18,Daten[Zielgruppe],selectedGroup,Daten[Richtigkeit Pkt.],"&lt;&gt;")=0,"",SUMIFS(Daten[Richtigkeit Pkt.],Daten[myth_id],18,Daten[Zielgruppe],selectedGroup))</f>
        <v>56.37</v>
      </c>
      <c r="H19">
        <f>IF(COUNTIFS(Daten[myth_id],18,Daten[Zielgruppe],selectedGroup,Daten[Präventionsbedeutung Pkt.],"&lt;&gt;")=0,"",SUMIFS(Daten[Präventionsbedeutung Pkt.],Daten[myth_id],18,Daten[Zielgruppe],selectedGroup))</f>
        <v>39.33</v>
      </c>
      <c r="I19">
        <f>IF(COUNTIFS(Daten[myth_id],18,Daten[Zielgruppe],selectedGroup,Daten[Bevölkerungsrelevanz Pkt.],"&lt;&gt;")=0,"",SUMIFS(Daten[Bevölkerungsrelevanz Pkt.],Daten[myth_id],18,Daten[Zielgruppe],selectedGroup))</f>
        <v>16.7</v>
      </c>
      <c r="J19">
        <f t="shared" si="0"/>
        <v>1</v>
      </c>
      <c r="K19">
        <f t="shared" si="1"/>
        <v>1</v>
      </c>
      <c r="L19">
        <f t="shared" si="2"/>
        <v>1</v>
      </c>
      <c r="M19">
        <f t="shared" si="3"/>
        <v>1</v>
      </c>
      <c r="N19">
        <f>CHOOSE(sortIdx,$A19,COUNTIF(Live!$B$2:$B$43,"&lt;"&amp;$B19)+1,COUNTIF(Live!$C$2:$C$43,"&lt;"&amp;$C19)+1,IFERROR(VLOOKUP($D19,Listen!$H$2:$I$6,2,FALSE()),99),$E19,$F19,$G19,$H19,$I19)</f>
        <v>18</v>
      </c>
      <c r="O19">
        <f t="shared" si="4"/>
        <v>18.001899999999999</v>
      </c>
      <c r="P19">
        <f>IF($M19&lt;&gt;1,0,COUNTIFS(Live!$M$2:$M$43,1,Live!$O$2:$O$43,"&lt;"&amp;$O19)+1)</f>
        <v>18</v>
      </c>
    </row>
    <row r="20" spans="1:16" x14ac:dyDescent="0.25">
      <c r="A20">
        <v>19</v>
      </c>
      <c r="B20" t="s">
        <v>140</v>
      </c>
      <c r="C20" t="s">
        <v>68</v>
      </c>
      <c r="D20" t="s">
        <v>53</v>
      </c>
      <c r="E20">
        <f>IF(COUNTIFS(Daten[myth_id],19,Daten[Zielgruppe],selectedGroup,Daten[Kenntnis %],"&lt;&gt;")=0,"",SUMIFS(Daten[Kenntnis %],Daten[myth_id],19,Daten[Zielgruppe],selectedGroup))</f>
        <v>60.56</v>
      </c>
      <c r="F20">
        <f>IF(COUNTIFS(Daten[myth_id],19,Daten[Zielgruppe],selectedGroup,Daten[Bedeutung Pkt.],"&lt;&gt;")=0,"",SUMIFS(Daten[Bedeutung Pkt.],Daten[myth_id],19,Daten[Zielgruppe],selectedGroup))</f>
        <v>71.83</v>
      </c>
      <c r="G20">
        <f>IF(COUNTIFS(Daten[myth_id],19,Daten[Zielgruppe],selectedGroup,Daten[Richtigkeit Pkt.],"&lt;&gt;")=0,"",SUMIFS(Daten[Richtigkeit Pkt.],Daten[myth_id],19,Daten[Zielgruppe],selectedGroup))</f>
        <v>87.56</v>
      </c>
      <c r="H20">
        <f>IF(COUNTIFS(Daten[myth_id],19,Daten[Zielgruppe],selectedGroup,Daten[Präventionsbedeutung Pkt.],"&lt;&gt;")=0,"",SUMIFS(Daten[Präventionsbedeutung Pkt.],Daten[myth_id],19,Daten[Zielgruppe],selectedGroup))</f>
        <v>21.45</v>
      </c>
      <c r="I20">
        <f>IF(COUNTIFS(Daten[myth_id],19,Daten[Zielgruppe],selectedGroup,Daten[Bevölkerungsrelevanz Pkt.],"&lt;&gt;")=0,"",SUMIFS(Daten[Bevölkerungsrelevanz Pkt.],Daten[myth_id],19,Daten[Zielgruppe],selectedGroup))</f>
        <v>16</v>
      </c>
      <c r="J20">
        <f t="shared" si="0"/>
        <v>1</v>
      </c>
      <c r="K20">
        <f t="shared" si="1"/>
        <v>1</v>
      </c>
      <c r="L20">
        <f t="shared" si="2"/>
        <v>1</v>
      </c>
      <c r="M20">
        <f t="shared" si="3"/>
        <v>1</v>
      </c>
      <c r="N20">
        <f>CHOOSE(sortIdx,$A20,COUNTIF(Live!$B$2:$B$43,"&lt;"&amp;$B20)+1,COUNTIF(Live!$C$2:$C$43,"&lt;"&amp;$C20)+1,IFERROR(VLOOKUP($D20,Listen!$H$2:$I$6,2,FALSE()),99),$E20,$F20,$G20,$H20,$I20)</f>
        <v>19</v>
      </c>
      <c r="O20">
        <f t="shared" si="4"/>
        <v>19.001999999999999</v>
      </c>
      <c r="P20">
        <f>IF($M20&lt;&gt;1,0,COUNTIFS(Live!$M$2:$M$43,1,Live!$O$2:$O$43,"&lt;"&amp;$O20)+1)</f>
        <v>19</v>
      </c>
    </row>
    <row r="21" spans="1:16" x14ac:dyDescent="0.25">
      <c r="A21">
        <v>20</v>
      </c>
      <c r="B21" t="s">
        <v>143</v>
      </c>
      <c r="C21" t="s">
        <v>67</v>
      </c>
      <c r="D21" t="s">
        <v>53</v>
      </c>
      <c r="E21">
        <f>IF(COUNTIFS(Daten[myth_id],20,Daten[Zielgruppe],selectedGroup,Daten[Kenntnis %],"&lt;&gt;")=0,"",SUMIFS(Daten[Kenntnis %],Daten[myth_id],20,Daten[Zielgruppe],selectedGroup))</f>
        <v>44.28</v>
      </c>
      <c r="F21">
        <f>IF(COUNTIFS(Daten[myth_id],20,Daten[Zielgruppe],selectedGroup,Daten[Bedeutung Pkt.],"&lt;&gt;")=0,"",SUMIFS(Daten[Bedeutung Pkt.],Daten[myth_id],20,Daten[Zielgruppe],selectedGroup))</f>
        <v>71.41</v>
      </c>
      <c r="G21">
        <f>IF(COUNTIFS(Daten[myth_id],20,Daten[Zielgruppe],selectedGroup,Daten[Richtigkeit Pkt.],"&lt;&gt;")=0,"",SUMIFS(Daten[Richtigkeit Pkt.],Daten[myth_id],20,Daten[Zielgruppe],selectedGroup))</f>
        <v>83.34</v>
      </c>
      <c r="H21">
        <f>IF(COUNTIFS(Daten[myth_id],20,Daten[Zielgruppe],selectedGroup,Daten[Präventionsbedeutung Pkt.],"&lt;&gt;")=0,"",SUMIFS(Daten[Präventionsbedeutung Pkt.],Daten[myth_id],20,Daten[Zielgruppe],selectedGroup))</f>
        <v>23.88</v>
      </c>
      <c r="I21">
        <f>IF(COUNTIFS(Daten[myth_id],20,Daten[Zielgruppe],selectedGroup,Daten[Bevölkerungsrelevanz Pkt.],"&lt;&gt;")=0,"",SUMIFS(Daten[Bevölkerungsrelevanz Pkt.],Daten[myth_id],20,Daten[Zielgruppe],selectedGroup))</f>
        <v>12.7</v>
      </c>
      <c r="J21">
        <f t="shared" si="0"/>
        <v>1</v>
      </c>
      <c r="K21">
        <f t="shared" si="1"/>
        <v>1</v>
      </c>
      <c r="L21">
        <f t="shared" si="2"/>
        <v>1</v>
      </c>
      <c r="M21">
        <f t="shared" si="3"/>
        <v>1</v>
      </c>
      <c r="N21">
        <f>CHOOSE(sortIdx,$A21,COUNTIF(Live!$B$2:$B$43,"&lt;"&amp;$B21)+1,COUNTIF(Live!$C$2:$C$43,"&lt;"&amp;$C21)+1,IFERROR(VLOOKUP($D21,Listen!$H$2:$I$6,2,FALSE()),99),$E21,$F21,$G21,$H21,$I21)</f>
        <v>20</v>
      </c>
      <c r="O21">
        <f t="shared" si="4"/>
        <v>20.002099999999999</v>
      </c>
      <c r="P21">
        <f>IF($M21&lt;&gt;1,0,COUNTIFS(Live!$M$2:$M$43,1,Live!$O$2:$O$43,"&lt;"&amp;$O21)+1)</f>
        <v>20</v>
      </c>
    </row>
    <row r="22" spans="1:16" x14ac:dyDescent="0.25">
      <c r="A22">
        <v>21</v>
      </c>
      <c r="B22" t="s">
        <v>146</v>
      </c>
      <c r="C22" t="s">
        <v>69</v>
      </c>
      <c r="D22" t="s">
        <v>53</v>
      </c>
      <c r="E22">
        <f>IF(COUNTIFS(Daten[myth_id],21,Daten[Zielgruppe],selectedGroup,Daten[Kenntnis %],"&lt;&gt;")=0,"",SUMIFS(Daten[Kenntnis %],Daten[myth_id],21,Daten[Zielgruppe],selectedGroup))</f>
        <v>64.45</v>
      </c>
      <c r="F22">
        <f>IF(COUNTIFS(Daten[myth_id],21,Daten[Zielgruppe],selectedGroup,Daten[Bedeutung Pkt.],"&lt;&gt;")=0,"",SUMIFS(Daten[Bedeutung Pkt.],Daten[myth_id],21,Daten[Zielgruppe],selectedGroup))</f>
        <v>82.84</v>
      </c>
      <c r="G22">
        <f>IF(COUNTIFS(Daten[myth_id],21,Daten[Zielgruppe],selectedGroup,Daten[Richtigkeit Pkt.],"&lt;&gt;")=0,"",SUMIFS(Daten[Richtigkeit Pkt.],Daten[myth_id],21,Daten[Zielgruppe],selectedGroup))</f>
        <v>91.71</v>
      </c>
      <c r="H22">
        <f>IF(COUNTIFS(Daten[myth_id],21,Daten[Zielgruppe],selectedGroup,Daten[Präventionsbedeutung Pkt.],"&lt;&gt;")=0,"",SUMIFS(Daten[Präventionsbedeutung Pkt.],Daten[myth_id],21,Daten[Zielgruppe],selectedGroup))</f>
        <v>21.4</v>
      </c>
      <c r="I22">
        <f>IF(COUNTIFS(Daten[myth_id],21,Daten[Zielgruppe],selectedGroup,Daten[Bevölkerungsrelevanz Pkt.],"&lt;&gt;")=0,"",SUMIFS(Daten[Bevölkerungsrelevanz Pkt.],Daten[myth_id],21,Daten[Zielgruppe],selectedGroup))</f>
        <v>17</v>
      </c>
      <c r="J22">
        <f t="shared" si="0"/>
        <v>1</v>
      </c>
      <c r="K22">
        <f t="shared" si="1"/>
        <v>1</v>
      </c>
      <c r="L22">
        <f t="shared" si="2"/>
        <v>1</v>
      </c>
      <c r="M22">
        <f t="shared" si="3"/>
        <v>1</v>
      </c>
      <c r="N22">
        <f>CHOOSE(sortIdx,$A22,COUNTIF(Live!$B$2:$B$43,"&lt;"&amp;$B22)+1,COUNTIF(Live!$C$2:$C$43,"&lt;"&amp;$C22)+1,IFERROR(VLOOKUP($D22,Listen!$H$2:$I$6,2,FALSE()),99),$E22,$F22,$G22,$H22,$I22)</f>
        <v>21</v>
      </c>
      <c r="O22">
        <f t="shared" si="4"/>
        <v>21.002199999999998</v>
      </c>
      <c r="P22">
        <f>IF($M22&lt;&gt;1,0,COUNTIFS(Live!$M$2:$M$43,1,Live!$O$2:$O$43,"&lt;"&amp;$O22)+1)</f>
        <v>21</v>
      </c>
    </row>
    <row r="23" spans="1:16" x14ac:dyDescent="0.25">
      <c r="A23">
        <v>22</v>
      </c>
      <c r="B23" t="s">
        <v>149</v>
      </c>
      <c r="C23" t="s">
        <v>67</v>
      </c>
      <c r="D23" t="s">
        <v>60</v>
      </c>
      <c r="E23">
        <f>IF(COUNTIFS(Daten[myth_id],22,Daten[Zielgruppe],selectedGroup,Daten[Kenntnis %],"&lt;&gt;")=0,"",SUMIFS(Daten[Kenntnis %],Daten[myth_id],22,Daten[Zielgruppe],selectedGroup))</f>
        <v>58.07</v>
      </c>
      <c r="F23">
        <f>IF(COUNTIFS(Daten[myth_id],22,Daten[Zielgruppe],selectedGroup,Daten[Bedeutung Pkt.],"&lt;&gt;")=0,"",SUMIFS(Daten[Bedeutung Pkt.],Daten[myth_id],22,Daten[Zielgruppe],selectedGroup))</f>
        <v>66.83</v>
      </c>
      <c r="G23">
        <f>IF(COUNTIFS(Daten[myth_id],22,Daten[Zielgruppe],selectedGroup,Daten[Richtigkeit Pkt.],"&lt;&gt;")=0,"",SUMIFS(Daten[Richtigkeit Pkt.],Daten[myth_id],22,Daten[Zielgruppe],selectedGroup))</f>
        <v>51.65</v>
      </c>
      <c r="H23">
        <f>IF(COUNTIFS(Daten[myth_id],22,Daten[Zielgruppe],selectedGroup,Daten[Präventionsbedeutung Pkt.],"&lt;&gt;")=0,"",SUMIFS(Daten[Präventionsbedeutung Pkt.],Daten[myth_id],22,Daten[Zielgruppe],selectedGroup))</f>
        <v>44.41</v>
      </c>
      <c r="I23">
        <f>IF(COUNTIFS(Daten[myth_id],22,Daten[Zielgruppe],selectedGroup,Daten[Bevölkerungsrelevanz Pkt.],"&lt;&gt;")=0,"",SUMIFS(Daten[Bevölkerungsrelevanz Pkt.],Daten[myth_id],22,Daten[Zielgruppe],selectedGroup))</f>
        <v>27.8</v>
      </c>
      <c r="J23">
        <f t="shared" si="0"/>
        <v>1</v>
      </c>
      <c r="K23">
        <f t="shared" si="1"/>
        <v>1</v>
      </c>
      <c r="L23">
        <f t="shared" si="2"/>
        <v>1</v>
      </c>
      <c r="M23">
        <f t="shared" si="3"/>
        <v>1</v>
      </c>
      <c r="N23">
        <f>CHOOSE(sortIdx,$A23,COUNTIF(Live!$B$2:$B$43,"&lt;"&amp;$B23)+1,COUNTIF(Live!$C$2:$C$43,"&lt;"&amp;$C23)+1,IFERROR(VLOOKUP($D23,Listen!$H$2:$I$6,2,FALSE()),99),$E23,$F23,$G23,$H23,$I23)</f>
        <v>22</v>
      </c>
      <c r="O23">
        <f t="shared" si="4"/>
        <v>22.002300000000002</v>
      </c>
      <c r="P23">
        <f>IF($M23&lt;&gt;1,0,COUNTIFS(Live!$M$2:$M$43,1,Live!$O$2:$O$43,"&lt;"&amp;$O23)+1)</f>
        <v>22</v>
      </c>
    </row>
    <row r="24" spans="1:16" x14ac:dyDescent="0.25">
      <c r="A24">
        <v>23</v>
      </c>
      <c r="B24" t="s">
        <v>152</v>
      </c>
      <c r="C24" t="s">
        <v>67</v>
      </c>
      <c r="D24" t="s">
        <v>63</v>
      </c>
      <c r="E24">
        <f>IF(COUNTIFS(Daten[myth_id],23,Daten[Zielgruppe],selectedGroup,Daten[Kenntnis %],"&lt;&gt;")=0,"",SUMIFS(Daten[Kenntnis %],Daten[myth_id],23,Daten[Zielgruppe],selectedGroup))</f>
        <v>16.43</v>
      </c>
      <c r="F24">
        <f>IF(COUNTIFS(Daten[myth_id],23,Daten[Zielgruppe],selectedGroup,Daten[Bedeutung Pkt.],"&lt;&gt;")=0,"",SUMIFS(Daten[Bedeutung Pkt.],Daten[myth_id],23,Daten[Zielgruppe],selectedGroup))</f>
        <v>58.35</v>
      </c>
      <c r="G24">
        <f>IF(COUNTIFS(Daten[myth_id],23,Daten[Zielgruppe],selectedGroup,Daten[Richtigkeit Pkt.],"&lt;&gt;")=0,"",SUMIFS(Daten[Richtigkeit Pkt.],Daten[myth_id],23,Daten[Zielgruppe],selectedGroup))</f>
        <v>63.75</v>
      </c>
      <c r="H24">
        <f>IF(COUNTIFS(Daten[myth_id],23,Daten[Zielgruppe],selectedGroup,Daten[Präventionsbedeutung Pkt.],"&lt;&gt;")=0,"",SUMIFS(Daten[Präventionsbedeutung Pkt.],Daten[myth_id],23,Daten[Zielgruppe],selectedGroup))</f>
        <v>33.68</v>
      </c>
      <c r="I24">
        <f>IF(COUNTIFS(Daten[myth_id],23,Daten[Zielgruppe],selectedGroup,Daten[Bevölkerungsrelevanz Pkt.],"&lt;&gt;")=0,"",SUMIFS(Daten[Bevölkerungsrelevanz Pkt.],Daten[myth_id],23,Daten[Zielgruppe],selectedGroup))</f>
        <v>6.2</v>
      </c>
      <c r="J24">
        <f t="shared" si="0"/>
        <v>1</v>
      </c>
      <c r="K24">
        <f t="shared" si="1"/>
        <v>1</v>
      </c>
      <c r="L24">
        <f t="shared" si="2"/>
        <v>1</v>
      </c>
      <c r="M24">
        <f t="shared" si="3"/>
        <v>1</v>
      </c>
      <c r="N24">
        <f>CHOOSE(sortIdx,$A24,COUNTIF(Live!$B$2:$B$43,"&lt;"&amp;$B24)+1,COUNTIF(Live!$C$2:$C$43,"&lt;"&amp;$C24)+1,IFERROR(VLOOKUP($D24,Listen!$H$2:$I$6,2,FALSE()),99),$E24,$F24,$G24,$H24,$I24)</f>
        <v>23</v>
      </c>
      <c r="O24">
        <f t="shared" si="4"/>
        <v>23.002400000000002</v>
      </c>
      <c r="P24">
        <f>IF($M24&lt;&gt;1,0,COUNTIFS(Live!$M$2:$M$43,1,Live!$O$2:$O$43,"&lt;"&amp;$O24)+1)</f>
        <v>23</v>
      </c>
    </row>
    <row r="25" spans="1:16" x14ac:dyDescent="0.25">
      <c r="A25">
        <v>24</v>
      </c>
      <c r="B25" t="s">
        <v>155</v>
      </c>
      <c r="C25" t="s">
        <v>67</v>
      </c>
      <c r="D25" t="s">
        <v>53</v>
      </c>
      <c r="E25">
        <f>IF(COUNTIFS(Daten[myth_id],24,Daten[Zielgruppe],selectedGroup,Daten[Kenntnis %],"&lt;&gt;")=0,"",SUMIFS(Daten[Kenntnis %],Daten[myth_id],24,Daten[Zielgruppe],selectedGroup))</f>
        <v>39.06</v>
      </c>
      <c r="F25">
        <f>IF(COUNTIFS(Daten[myth_id],24,Daten[Zielgruppe],selectedGroup,Daten[Bedeutung Pkt.],"&lt;&gt;")=0,"",SUMIFS(Daten[Bedeutung Pkt.],Daten[myth_id],24,Daten[Zielgruppe],selectedGroup))</f>
        <v>69.599999999999994</v>
      </c>
      <c r="G25">
        <f>IF(COUNTIFS(Daten[myth_id],24,Daten[Zielgruppe],selectedGroup,Daten[Richtigkeit Pkt.],"&lt;&gt;")=0,"",SUMIFS(Daten[Richtigkeit Pkt.],Daten[myth_id],24,Daten[Zielgruppe],selectedGroup))</f>
        <v>74.25</v>
      </c>
      <c r="H25">
        <f>IF(COUNTIFS(Daten[myth_id],24,Daten[Zielgruppe],selectedGroup,Daten[Präventionsbedeutung Pkt.],"&lt;&gt;")=0,"",SUMIFS(Daten[Präventionsbedeutung Pkt.],Daten[myth_id],24,Daten[Zielgruppe],selectedGroup))</f>
        <v>28.48</v>
      </c>
      <c r="I25">
        <f>IF(COUNTIFS(Daten[myth_id],24,Daten[Zielgruppe],selectedGroup,Daten[Bevölkerungsrelevanz Pkt.],"&lt;&gt;")=0,"",SUMIFS(Daten[Bevölkerungsrelevanz Pkt.],Daten[myth_id],24,Daten[Zielgruppe],selectedGroup))</f>
        <v>12.9</v>
      </c>
      <c r="J25">
        <f t="shared" si="0"/>
        <v>1</v>
      </c>
      <c r="K25">
        <f t="shared" si="1"/>
        <v>1</v>
      </c>
      <c r="L25">
        <f t="shared" si="2"/>
        <v>1</v>
      </c>
      <c r="M25">
        <f t="shared" si="3"/>
        <v>1</v>
      </c>
      <c r="N25">
        <f>CHOOSE(sortIdx,$A25,COUNTIF(Live!$B$2:$B$43,"&lt;"&amp;$B25)+1,COUNTIF(Live!$C$2:$C$43,"&lt;"&amp;$C25)+1,IFERROR(VLOOKUP($D25,Listen!$H$2:$I$6,2,FALSE()),99),$E25,$F25,$G25,$H25,$I25)</f>
        <v>24</v>
      </c>
      <c r="O25">
        <f t="shared" si="4"/>
        <v>24.002500000000001</v>
      </c>
      <c r="P25">
        <f>IF($M25&lt;&gt;1,0,COUNTIFS(Live!$M$2:$M$43,1,Live!$O$2:$O$43,"&lt;"&amp;$O25)+1)</f>
        <v>24</v>
      </c>
    </row>
    <row r="26" spans="1:16" x14ac:dyDescent="0.25">
      <c r="A26">
        <v>25</v>
      </c>
      <c r="B26" t="s">
        <v>158</v>
      </c>
      <c r="C26" t="s">
        <v>55</v>
      </c>
      <c r="D26" t="s">
        <v>60</v>
      </c>
      <c r="E26">
        <f>IF(COUNTIFS(Daten[myth_id],25,Daten[Zielgruppe],selectedGroup,Daten[Kenntnis %],"&lt;&gt;")=0,"",SUMIFS(Daten[Kenntnis %],Daten[myth_id],25,Daten[Zielgruppe],selectedGroup))</f>
        <v>32.18</v>
      </c>
      <c r="F26">
        <f>IF(COUNTIFS(Daten[myth_id],25,Daten[Zielgruppe],selectedGroup,Daten[Bedeutung Pkt.],"&lt;&gt;")=0,"",SUMIFS(Daten[Bedeutung Pkt.],Daten[myth_id],25,Daten[Zielgruppe],selectedGroup))</f>
        <v>60.49</v>
      </c>
      <c r="G26">
        <f>IF(COUNTIFS(Daten[myth_id],25,Daten[Zielgruppe],selectedGroup,Daten[Richtigkeit Pkt.],"&lt;&gt;")=0,"",SUMIFS(Daten[Richtigkeit Pkt.],Daten[myth_id],25,Daten[Zielgruppe],selectedGroup))</f>
        <v>60.6</v>
      </c>
      <c r="H26">
        <f>IF(COUNTIFS(Daten[myth_id],25,Daten[Zielgruppe],selectedGroup,Daten[Präventionsbedeutung Pkt.],"&lt;&gt;")=0,"",SUMIFS(Daten[Präventionsbedeutung Pkt.],Daten[myth_id],25,Daten[Zielgruppe],selectedGroup))</f>
        <v>35.85</v>
      </c>
      <c r="I26">
        <f>IF(COUNTIFS(Daten[myth_id],25,Daten[Zielgruppe],selectedGroup,Daten[Bevölkerungsrelevanz Pkt.],"&lt;&gt;")=0,"",SUMIFS(Daten[Bevölkerungsrelevanz Pkt.],Daten[myth_id],25,Daten[Zielgruppe],selectedGroup))</f>
        <v>12.8</v>
      </c>
      <c r="J26">
        <f t="shared" si="0"/>
        <v>1</v>
      </c>
      <c r="K26">
        <f t="shared" si="1"/>
        <v>1</v>
      </c>
      <c r="L26">
        <f t="shared" si="2"/>
        <v>1</v>
      </c>
      <c r="M26">
        <f t="shared" si="3"/>
        <v>1</v>
      </c>
      <c r="N26">
        <f>CHOOSE(sortIdx,$A26,COUNTIF(Live!$B$2:$B$43,"&lt;"&amp;$B26)+1,COUNTIF(Live!$C$2:$C$43,"&lt;"&amp;$C26)+1,IFERROR(VLOOKUP($D26,Listen!$H$2:$I$6,2,FALSE()),99),$E26,$F26,$G26,$H26,$I26)</f>
        <v>25</v>
      </c>
      <c r="O26">
        <f t="shared" si="4"/>
        <v>25.002600000000001</v>
      </c>
      <c r="P26">
        <f>IF($M26&lt;&gt;1,0,COUNTIFS(Live!$M$2:$M$43,1,Live!$O$2:$O$43,"&lt;"&amp;$O26)+1)</f>
        <v>25</v>
      </c>
    </row>
    <row r="27" spans="1:16" x14ac:dyDescent="0.25">
      <c r="A27">
        <v>26</v>
      </c>
      <c r="B27" t="s">
        <v>161</v>
      </c>
      <c r="C27" t="s">
        <v>55</v>
      </c>
      <c r="D27" t="s">
        <v>63</v>
      </c>
      <c r="E27">
        <f>IF(COUNTIFS(Daten[myth_id],26,Daten[Zielgruppe],selectedGroup,Daten[Kenntnis %],"&lt;&gt;")=0,"",SUMIFS(Daten[Kenntnis %],Daten[myth_id],26,Daten[Zielgruppe],selectedGroup))</f>
        <v>31.26</v>
      </c>
      <c r="F27">
        <f>IF(COUNTIFS(Daten[myth_id],26,Daten[Zielgruppe],selectedGroup,Daten[Bedeutung Pkt.],"&lt;&gt;")=0,"",SUMIFS(Daten[Bedeutung Pkt.],Daten[myth_id],26,Daten[Zielgruppe],selectedGroup))</f>
        <v>62.58</v>
      </c>
      <c r="G27">
        <f>IF(COUNTIFS(Daten[myth_id],26,Daten[Zielgruppe],selectedGroup,Daten[Richtigkeit Pkt.],"&lt;&gt;")=0,"",SUMIFS(Daten[Richtigkeit Pkt.],Daten[myth_id],26,Daten[Zielgruppe],selectedGroup))</f>
        <v>30.18</v>
      </c>
      <c r="H27">
        <f>IF(COUNTIFS(Daten[myth_id],26,Daten[Zielgruppe],selectedGroup,Daten[Präventionsbedeutung Pkt.],"&lt;&gt;")=0,"",SUMIFS(Daten[Präventionsbedeutung Pkt.],Daten[myth_id],26,Daten[Zielgruppe],selectedGroup))</f>
        <v>54.67</v>
      </c>
      <c r="I27">
        <f>IF(COUNTIFS(Daten[myth_id],26,Daten[Zielgruppe],selectedGroup,Daten[Bevölkerungsrelevanz Pkt.],"&lt;&gt;")=0,"",SUMIFS(Daten[Bevölkerungsrelevanz Pkt.],Daten[myth_id],26,Daten[Zielgruppe],selectedGroup))</f>
        <v>18</v>
      </c>
      <c r="J27">
        <f t="shared" si="0"/>
        <v>1</v>
      </c>
      <c r="K27">
        <f t="shared" si="1"/>
        <v>1</v>
      </c>
      <c r="L27">
        <f t="shared" si="2"/>
        <v>1</v>
      </c>
      <c r="M27">
        <f t="shared" si="3"/>
        <v>1</v>
      </c>
      <c r="N27">
        <f>CHOOSE(sortIdx,$A27,COUNTIF(Live!$B$2:$B$43,"&lt;"&amp;$B27)+1,COUNTIF(Live!$C$2:$C$43,"&lt;"&amp;$C27)+1,IFERROR(VLOOKUP($D27,Listen!$H$2:$I$6,2,FALSE()),99),$E27,$F27,$G27,$H27,$I27)</f>
        <v>26</v>
      </c>
      <c r="O27">
        <f t="shared" si="4"/>
        <v>26.002700000000001</v>
      </c>
      <c r="P27">
        <f>IF($M27&lt;&gt;1,0,COUNTIFS(Live!$M$2:$M$43,1,Live!$O$2:$O$43,"&lt;"&amp;$O27)+1)</f>
        <v>26</v>
      </c>
    </row>
    <row r="28" spans="1:16" x14ac:dyDescent="0.25">
      <c r="A28">
        <v>27</v>
      </c>
      <c r="B28" t="s">
        <v>164</v>
      </c>
      <c r="C28" t="s">
        <v>55</v>
      </c>
      <c r="D28" t="s">
        <v>60</v>
      </c>
      <c r="E28">
        <f>IF(COUNTIFS(Daten[myth_id],27,Daten[Zielgruppe],selectedGroup,Daten[Kenntnis %],"&lt;&gt;")=0,"",SUMIFS(Daten[Kenntnis %],Daten[myth_id],27,Daten[Zielgruppe],selectedGroup))</f>
        <v>30.37</v>
      </c>
      <c r="F28">
        <f>IF(COUNTIFS(Daten[myth_id],27,Daten[Zielgruppe],selectedGroup,Daten[Bedeutung Pkt.],"&lt;&gt;")=0,"",SUMIFS(Daten[Bedeutung Pkt.],Daten[myth_id],27,Daten[Zielgruppe],selectedGroup))</f>
        <v>60.45</v>
      </c>
      <c r="G28">
        <f>IF(COUNTIFS(Daten[myth_id],27,Daten[Zielgruppe],selectedGroup,Daten[Richtigkeit Pkt.],"&lt;&gt;")=0,"",SUMIFS(Daten[Richtigkeit Pkt.],Daten[myth_id],27,Daten[Zielgruppe],selectedGroup))</f>
        <v>55.93</v>
      </c>
      <c r="H28">
        <f>IF(COUNTIFS(Daten[myth_id],27,Daten[Zielgruppe],selectedGroup,Daten[Präventionsbedeutung Pkt.],"&lt;&gt;")=0,"",SUMIFS(Daten[Präventionsbedeutung Pkt.],Daten[myth_id],27,Daten[Zielgruppe],selectedGroup))</f>
        <v>38.24</v>
      </c>
      <c r="I28">
        <f>IF(COUNTIFS(Daten[myth_id],27,Daten[Zielgruppe],selectedGroup,Daten[Bevölkerungsrelevanz Pkt.],"&lt;&gt;")=0,"",SUMIFS(Daten[Bevölkerungsrelevanz Pkt.],Daten[myth_id],27,Daten[Zielgruppe],selectedGroup))</f>
        <v>12.8</v>
      </c>
      <c r="J28">
        <f t="shared" si="0"/>
        <v>1</v>
      </c>
      <c r="K28">
        <f t="shared" si="1"/>
        <v>1</v>
      </c>
      <c r="L28">
        <f t="shared" si="2"/>
        <v>1</v>
      </c>
      <c r="M28">
        <f t="shared" si="3"/>
        <v>1</v>
      </c>
      <c r="N28">
        <f>CHOOSE(sortIdx,$A28,COUNTIF(Live!$B$2:$B$43,"&lt;"&amp;$B28)+1,COUNTIF(Live!$C$2:$C$43,"&lt;"&amp;$C28)+1,IFERROR(VLOOKUP($D28,Listen!$H$2:$I$6,2,FALSE()),99),$E28,$F28,$G28,$H28,$I28)</f>
        <v>27</v>
      </c>
      <c r="O28">
        <f t="shared" si="4"/>
        <v>27.002800000000001</v>
      </c>
      <c r="P28">
        <f>IF($M28&lt;&gt;1,0,COUNTIFS(Live!$M$2:$M$43,1,Live!$O$2:$O$43,"&lt;"&amp;$O28)+1)</f>
        <v>27</v>
      </c>
    </row>
    <row r="29" spans="1:16" x14ac:dyDescent="0.25">
      <c r="A29">
        <v>28</v>
      </c>
      <c r="B29" t="s">
        <v>167</v>
      </c>
      <c r="C29" t="s">
        <v>67</v>
      </c>
      <c r="D29" t="s">
        <v>63</v>
      </c>
      <c r="E29">
        <f>IF(COUNTIFS(Daten[myth_id],28,Daten[Zielgruppe],selectedGroup,Daten[Kenntnis %],"&lt;&gt;")=0,"",SUMIFS(Daten[Kenntnis %],Daten[myth_id],28,Daten[Zielgruppe],selectedGroup))</f>
        <v>26.29</v>
      </c>
      <c r="F29">
        <f>IF(COUNTIFS(Daten[myth_id],28,Daten[Zielgruppe],selectedGroup,Daten[Bedeutung Pkt.],"&lt;&gt;")=0,"",SUMIFS(Daten[Bedeutung Pkt.],Daten[myth_id],28,Daten[Zielgruppe],selectedGroup))</f>
        <v>66.83</v>
      </c>
      <c r="G29">
        <f>IF(COUNTIFS(Daten[myth_id],28,Daten[Zielgruppe],selectedGroup,Daten[Richtigkeit Pkt.],"&lt;&gt;")=0,"",SUMIFS(Daten[Richtigkeit Pkt.],Daten[myth_id],28,Daten[Zielgruppe],selectedGroup))</f>
        <v>25.05</v>
      </c>
      <c r="H29">
        <f>IF(COUNTIFS(Daten[myth_id],28,Daten[Zielgruppe],selectedGroup,Daten[Präventionsbedeutung Pkt.],"&lt;&gt;")=0,"",SUMIFS(Daten[Präventionsbedeutung Pkt.],Daten[myth_id],28,Daten[Zielgruppe],selectedGroup))</f>
        <v>60.32</v>
      </c>
      <c r="I29">
        <f>IF(COUNTIFS(Daten[myth_id],28,Daten[Zielgruppe],selectedGroup,Daten[Bevölkerungsrelevanz Pkt.],"&lt;&gt;")=0,"",SUMIFS(Daten[Bevölkerungsrelevanz Pkt.],Daten[myth_id],28,Daten[Zielgruppe],selectedGroup))</f>
        <v>16.5</v>
      </c>
      <c r="J29">
        <f t="shared" si="0"/>
        <v>1</v>
      </c>
      <c r="K29">
        <f t="shared" si="1"/>
        <v>1</v>
      </c>
      <c r="L29">
        <f t="shared" si="2"/>
        <v>1</v>
      </c>
      <c r="M29">
        <f t="shared" si="3"/>
        <v>1</v>
      </c>
      <c r="N29">
        <f>CHOOSE(sortIdx,$A29,COUNTIF(Live!$B$2:$B$43,"&lt;"&amp;$B29)+1,COUNTIF(Live!$C$2:$C$43,"&lt;"&amp;$C29)+1,IFERROR(VLOOKUP($D29,Listen!$H$2:$I$6,2,FALSE()),99),$E29,$F29,$G29,$H29,$I29)</f>
        <v>28</v>
      </c>
      <c r="O29">
        <f t="shared" si="4"/>
        <v>28.0029</v>
      </c>
      <c r="P29">
        <f>IF($M29&lt;&gt;1,0,COUNTIFS(Live!$M$2:$M$43,1,Live!$O$2:$O$43,"&lt;"&amp;$O29)+1)</f>
        <v>28</v>
      </c>
    </row>
    <row r="30" spans="1:16" x14ac:dyDescent="0.25">
      <c r="A30">
        <v>29</v>
      </c>
      <c r="B30" t="s">
        <v>170</v>
      </c>
      <c r="C30" t="s">
        <v>68</v>
      </c>
      <c r="D30" t="s">
        <v>57</v>
      </c>
      <c r="E30">
        <f>IF(COUNTIFS(Daten[myth_id],29,Daten[Zielgruppe],selectedGroup,Daten[Kenntnis %],"&lt;&gt;")=0,"",SUMIFS(Daten[Kenntnis %],Daten[myth_id],29,Daten[Zielgruppe],selectedGroup))</f>
        <v>32.89</v>
      </c>
      <c r="F30">
        <f>IF(COUNTIFS(Daten[myth_id],29,Daten[Zielgruppe],selectedGroup,Daten[Bedeutung Pkt.],"&lt;&gt;")=0,"",SUMIFS(Daten[Bedeutung Pkt.],Daten[myth_id],29,Daten[Zielgruppe],selectedGroup))</f>
        <v>59.2</v>
      </c>
      <c r="G30">
        <f>IF(COUNTIFS(Daten[myth_id],29,Daten[Zielgruppe],selectedGroup,Daten[Richtigkeit Pkt.],"&lt;&gt;")=0,"",SUMIFS(Daten[Richtigkeit Pkt.],Daten[myth_id],29,Daten[Zielgruppe],selectedGroup))</f>
        <v>84.4</v>
      </c>
      <c r="H30">
        <f>IF(COUNTIFS(Daten[myth_id],29,Daten[Zielgruppe],selectedGroup,Daten[Präventionsbedeutung Pkt.],"&lt;&gt;")=0,"",SUMIFS(Daten[Präventionsbedeutung Pkt.],Daten[myth_id],29,Daten[Zielgruppe],selectedGroup))</f>
        <v>21.23</v>
      </c>
      <c r="I30">
        <f>IF(COUNTIFS(Daten[myth_id],29,Daten[Zielgruppe],selectedGroup,Daten[Bevölkerungsrelevanz Pkt.],"&lt;&gt;")=0,"",SUMIFS(Daten[Bevölkerungsrelevanz Pkt.],Daten[myth_id],29,Daten[Zielgruppe],selectedGroup))</f>
        <v>8.6</v>
      </c>
      <c r="J30">
        <f t="shared" si="0"/>
        <v>1</v>
      </c>
      <c r="K30">
        <f t="shared" si="1"/>
        <v>1</v>
      </c>
      <c r="L30">
        <f t="shared" si="2"/>
        <v>1</v>
      </c>
      <c r="M30">
        <f t="shared" si="3"/>
        <v>1</v>
      </c>
      <c r="N30">
        <f>CHOOSE(sortIdx,$A30,COUNTIF(Live!$B$2:$B$43,"&lt;"&amp;$B30)+1,COUNTIF(Live!$C$2:$C$43,"&lt;"&amp;$C30)+1,IFERROR(VLOOKUP($D30,Listen!$H$2:$I$6,2,FALSE()),99),$E30,$F30,$G30,$H30,$I30)</f>
        <v>29</v>
      </c>
      <c r="O30">
        <f t="shared" si="4"/>
        <v>29.003</v>
      </c>
      <c r="P30">
        <f>IF($M30&lt;&gt;1,0,COUNTIFS(Live!$M$2:$M$43,1,Live!$O$2:$O$43,"&lt;"&amp;$O30)+1)</f>
        <v>29</v>
      </c>
    </row>
    <row r="31" spans="1:16" x14ac:dyDescent="0.25">
      <c r="A31">
        <v>30</v>
      </c>
      <c r="B31" t="s">
        <v>173</v>
      </c>
      <c r="C31" t="s">
        <v>67</v>
      </c>
      <c r="D31" t="s">
        <v>57</v>
      </c>
      <c r="E31">
        <f>IF(COUNTIFS(Daten[myth_id],30,Daten[Zielgruppe],selectedGroup,Daten[Kenntnis %],"&lt;&gt;")=0,"",SUMIFS(Daten[Kenntnis %],Daten[myth_id],30,Daten[Zielgruppe],selectedGroup))</f>
        <v>14.09</v>
      </c>
      <c r="F31">
        <f>IF(COUNTIFS(Daten[myth_id],30,Daten[Zielgruppe],selectedGroup,Daten[Bedeutung Pkt.],"&lt;&gt;")=0,"",SUMIFS(Daten[Bedeutung Pkt.],Daten[myth_id],30,Daten[Zielgruppe],selectedGroup))</f>
        <v>73.290000000000006</v>
      </c>
      <c r="G31">
        <f>IF(COUNTIFS(Daten[myth_id],30,Daten[Zielgruppe],selectedGroup,Daten[Richtigkeit Pkt.],"&lt;&gt;")=0,"",SUMIFS(Daten[Richtigkeit Pkt.],Daten[myth_id],30,Daten[Zielgruppe],selectedGroup))</f>
        <v>83.02</v>
      </c>
      <c r="H31">
        <f>IF(COUNTIFS(Daten[myth_id],30,Daten[Zielgruppe],selectedGroup,Daten[Präventionsbedeutung Pkt.],"&lt;&gt;")=0,"",SUMIFS(Daten[Präventionsbedeutung Pkt.],Daten[myth_id],30,Daten[Zielgruppe],selectedGroup))</f>
        <v>25.83</v>
      </c>
      <c r="I31">
        <f>IF(COUNTIFS(Daten[myth_id],30,Daten[Zielgruppe],selectedGroup,Daten[Bevölkerungsrelevanz Pkt.],"&lt;&gt;")=0,"",SUMIFS(Daten[Bevölkerungsrelevanz Pkt.],Daten[myth_id],30,Daten[Zielgruppe],selectedGroup))</f>
        <v>4.3</v>
      </c>
      <c r="J31">
        <f t="shared" si="0"/>
        <v>1</v>
      </c>
      <c r="K31">
        <f t="shared" si="1"/>
        <v>1</v>
      </c>
      <c r="L31">
        <f t="shared" si="2"/>
        <v>1</v>
      </c>
      <c r="M31">
        <f t="shared" si="3"/>
        <v>1</v>
      </c>
      <c r="N31">
        <f>CHOOSE(sortIdx,$A31,COUNTIF(Live!$B$2:$B$43,"&lt;"&amp;$B31)+1,COUNTIF(Live!$C$2:$C$43,"&lt;"&amp;$C31)+1,IFERROR(VLOOKUP($D31,Listen!$H$2:$I$6,2,FALSE()),99),$E31,$F31,$G31,$H31,$I31)</f>
        <v>30</v>
      </c>
      <c r="O31">
        <f t="shared" si="4"/>
        <v>30.0031</v>
      </c>
      <c r="P31">
        <f>IF($M31&lt;&gt;1,0,COUNTIFS(Live!$M$2:$M$43,1,Live!$O$2:$O$43,"&lt;"&amp;$O31)+1)</f>
        <v>30</v>
      </c>
    </row>
    <row r="32" spans="1:16" x14ac:dyDescent="0.25">
      <c r="A32">
        <v>31</v>
      </c>
      <c r="B32" t="s">
        <v>176</v>
      </c>
      <c r="C32" t="s">
        <v>68</v>
      </c>
      <c r="D32" t="s">
        <v>57</v>
      </c>
      <c r="E32">
        <f>IF(COUNTIFS(Daten[myth_id],31,Daten[Zielgruppe],selectedGroup,Daten[Kenntnis %],"&lt;&gt;")=0,"",SUMIFS(Daten[Kenntnis %],Daten[myth_id],31,Daten[Zielgruppe],selectedGroup))</f>
        <v>57.16</v>
      </c>
      <c r="F32">
        <f>IF(COUNTIFS(Daten[myth_id],31,Daten[Zielgruppe],selectedGroup,Daten[Bedeutung Pkt.],"&lt;&gt;")=0,"",SUMIFS(Daten[Bedeutung Pkt.],Daten[myth_id],31,Daten[Zielgruppe],selectedGroup))</f>
        <v>62.08</v>
      </c>
      <c r="G32">
        <f>IF(COUNTIFS(Daten[myth_id],31,Daten[Zielgruppe],selectedGroup,Daten[Richtigkeit Pkt.],"&lt;&gt;")=0,"",SUMIFS(Daten[Richtigkeit Pkt.],Daten[myth_id],31,Daten[Zielgruppe],selectedGroup))</f>
        <v>82.01</v>
      </c>
      <c r="H32">
        <f>IF(COUNTIFS(Daten[myth_id],31,Daten[Zielgruppe],selectedGroup,Daten[Präventionsbedeutung Pkt.],"&lt;&gt;")=0,"",SUMIFS(Daten[Präventionsbedeutung Pkt.],Daten[myth_id],31,Daten[Zielgruppe],selectedGroup))</f>
        <v>23.67</v>
      </c>
      <c r="I32">
        <f>IF(COUNTIFS(Daten[myth_id],31,Daten[Zielgruppe],selectedGroup,Daten[Bevölkerungsrelevanz Pkt.],"&lt;&gt;")=0,"",SUMIFS(Daten[Bevölkerungsrelevanz Pkt.],Daten[myth_id],31,Daten[Zielgruppe],selectedGroup))</f>
        <v>16.3</v>
      </c>
      <c r="J32">
        <f t="shared" si="0"/>
        <v>1</v>
      </c>
      <c r="K32">
        <f t="shared" si="1"/>
        <v>1</v>
      </c>
      <c r="L32">
        <f t="shared" si="2"/>
        <v>1</v>
      </c>
      <c r="M32">
        <f t="shared" si="3"/>
        <v>1</v>
      </c>
      <c r="N32">
        <f>CHOOSE(sortIdx,$A32,COUNTIF(Live!$B$2:$B$43,"&lt;"&amp;$B32)+1,COUNTIF(Live!$C$2:$C$43,"&lt;"&amp;$C32)+1,IFERROR(VLOOKUP($D32,Listen!$H$2:$I$6,2,FALSE()),99),$E32,$F32,$G32,$H32,$I32)</f>
        <v>31</v>
      </c>
      <c r="O32">
        <f t="shared" si="4"/>
        <v>31.0032</v>
      </c>
      <c r="P32">
        <f>IF($M32&lt;&gt;1,0,COUNTIFS(Live!$M$2:$M$43,1,Live!$O$2:$O$43,"&lt;"&amp;$O32)+1)</f>
        <v>31</v>
      </c>
    </row>
    <row r="33" spans="1:16" x14ac:dyDescent="0.25">
      <c r="A33">
        <v>32</v>
      </c>
      <c r="B33" t="s">
        <v>179</v>
      </c>
      <c r="C33" t="s">
        <v>68</v>
      </c>
      <c r="D33" t="s">
        <v>60</v>
      </c>
      <c r="E33">
        <f>IF(COUNTIFS(Daten[myth_id],32,Daten[Zielgruppe],selectedGroup,Daten[Kenntnis %],"&lt;&gt;")=0,"",SUMIFS(Daten[Kenntnis %],Daten[myth_id],32,Daten[Zielgruppe],selectedGroup))</f>
        <v>23.96</v>
      </c>
      <c r="F33">
        <f>IF(COUNTIFS(Daten[myth_id],32,Daten[Zielgruppe],selectedGroup,Daten[Bedeutung Pkt.],"&lt;&gt;")=0,"",SUMIFS(Daten[Bedeutung Pkt.],Daten[myth_id],32,Daten[Zielgruppe],selectedGroup))</f>
        <v>62.13</v>
      </c>
      <c r="G33">
        <f>IF(COUNTIFS(Daten[myth_id],32,Daten[Zielgruppe],selectedGroup,Daten[Richtigkeit Pkt.],"&lt;&gt;")=0,"",SUMIFS(Daten[Richtigkeit Pkt.],Daten[myth_id],32,Daten[Zielgruppe],selectedGroup))</f>
        <v>57.86</v>
      </c>
      <c r="H33">
        <f>IF(COUNTIFS(Daten[myth_id],32,Daten[Zielgruppe],selectedGroup,Daten[Präventionsbedeutung Pkt.],"&lt;&gt;")=0,"",SUMIFS(Daten[Präventionsbedeutung Pkt.],Daten[myth_id],32,Daten[Zielgruppe],selectedGroup))</f>
        <v>38.42</v>
      </c>
      <c r="I33">
        <f>IF(COUNTIFS(Daten[myth_id],32,Daten[Zielgruppe],selectedGroup,Daten[Bevölkerungsrelevanz Pkt.],"&lt;&gt;")=0,"",SUMIFS(Daten[Bevölkerungsrelevanz Pkt.],Daten[myth_id],32,Daten[Zielgruppe],selectedGroup))</f>
        <v>10.1</v>
      </c>
      <c r="J33">
        <f t="shared" si="0"/>
        <v>1</v>
      </c>
      <c r="K33">
        <f t="shared" si="1"/>
        <v>1</v>
      </c>
      <c r="L33">
        <f t="shared" si="2"/>
        <v>1</v>
      </c>
      <c r="M33">
        <f t="shared" si="3"/>
        <v>1</v>
      </c>
      <c r="N33">
        <f>CHOOSE(sortIdx,$A33,COUNTIF(Live!$B$2:$B$43,"&lt;"&amp;$B33)+1,COUNTIF(Live!$C$2:$C$43,"&lt;"&amp;$C33)+1,IFERROR(VLOOKUP($D33,Listen!$H$2:$I$6,2,FALSE()),99),$E33,$F33,$G33,$H33,$I33)</f>
        <v>32</v>
      </c>
      <c r="O33">
        <f t="shared" si="4"/>
        <v>32.003300000000003</v>
      </c>
      <c r="P33">
        <f>IF($M33&lt;&gt;1,0,COUNTIFS(Live!$M$2:$M$43,1,Live!$O$2:$O$43,"&lt;"&amp;$O33)+1)</f>
        <v>32</v>
      </c>
    </row>
    <row r="34" spans="1:16" x14ac:dyDescent="0.25">
      <c r="A34">
        <v>33</v>
      </c>
      <c r="B34" t="s">
        <v>180</v>
      </c>
      <c r="C34" t="s">
        <v>69</v>
      </c>
      <c r="D34" t="s">
        <v>60</v>
      </c>
      <c r="E34">
        <f>IF(COUNTIFS(Daten[myth_id],33,Daten[Zielgruppe],selectedGroup,Daten[Kenntnis %],"&lt;&gt;")=0,"",SUMIFS(Daten[Kenntnis %],Daten[myth_id],33,Daten[Zielgruppe],selectedGroup))</f>
        <v>18.75</v>
      </c>
      <c r="F34">
        <f>IF(COUNTIFS(Daten[myth_id],33,Daten[Zielgruppe],selectedGroup,Daten[Bedeutung Pkt.],"&lt;&gt;")=0,"",SUMIFS(Daten[Bedeutung Pkt.],Daten[myth_id],33,Daten[Zielgruppe],selectedGroup))</f>
        <v>51.36</v>
      </c>
      <c r="G34">
        <f>IF(COUNTIFS(Daten[myth_id],33,Daten[Zielgruppe],selectedGroup,Daten[Richtigkeit Pkt.],"&lt;&gt;")=0,"",SUMIFS(Daten[Richtigkeit Pkt.],Daten[myth_id],33,Daten[Zielgruppe],selectedGroup))</f>
        <v>60.97</v>
      </c>
      <c r="H34">
        <f>IF(COUNTIFS(Daten[myth_id],33,Daten[Zielgruppe],selectedGroup,Daten[Präventionsbedeutung Pkt.],"&lt;&gt;")=0,"",SUMIFS(Daten[Präventionsbedeutung Pkt.],Daten[myth_id],33,Daten[Zielgruppe],selectedGroup))</f>
        <v>31.97</v>
      </c>
      <c r="I34">
        <f>IF(COUNTIFS(Daten[myth_id],33,Daten[Zielgruppe],selectedGroup,Daten[Bevölkerungsrelevanz Pkt.],"&lt;&gt;")=0,"",SUMIFS(Daten[Bevölkerungsrelevanz Pkt.],Daten[myth_id],33,Daten[Zielgruppe],selectedGroup))</f>
        <v>6.8</v>
      </c>
      <c r="J34">
        <f t="shared" si="0"/>
        <v>1</v>
      </c>
      <c r="K34">
        <f t="shared" si="1"/>
        <v>1</v>
      </c>
      <c r="L34">
        <f t="shared" si="2"/>
        <v>1</v>
      </c>
      <c r="M34">
        <f t="shared" si="3"/>
        <v>1</v>
      </c>
      <c r="N34">
        <f>CHOOSE(sortIdx,$A34,COUNTIF(Live!$B$2:$B$43,"&lt;"&amp;$B34)+1,COUNTIF(Live!$C$2:$C$43,"&lt;"&amp;$C34)+1,IFERROR(VLOOKUP($D34,Listen!$H$2:$I$6,2,FALSE()),99),$E34,$F34,$G34,$H34,$I34)</f>
        <v>33</v>
      </c>
      <c r="O34">
        <f t="shared" si="4"/>
        <v>33.003399999999999</v>
      </c>
      <c r="P34">
        <f>IF($M34&lt;&gt;1,0,COUNTIFS(Live!$M$2:$M$43,1,Live!$O$2:$O$43,"&lt;"&amp;$O34)+1)</f>
        <v>33</v>
      </c>
    </row>
    <row r="35" spans="1:16" x14ac:dyDescent="0.25">
      <c r="A35">
        <v>34</v>
      </c>
      <c r="B35" t="s">
        <v>183</v>
      </c>
      <c r="C35" t="s">
        <v>69</v>
      </c>
      <c r="D35" t="s">
        <v>60</v>
      </c>
      <c r="E35">
        <f>IF(COUNTIFS(Daten[myth_id],34,Daten[Zielgruppe],selectedGroup,Daten[Kenntnis %],"&lt;&gt;")=0,"",SUMIFS(Daten[Kenntnis %],Daten[myth_id],34,Daten[Zielgruppe],selectedGroup))</f>
        <v>30.33</v>
      </c>
      <c r="F35">
        <f>IF(COUNTIFS(Daten[myth_id],34,Daten[Zielgruppe],selectedGroup,Daten[Bedeutung Pkt.],"&lt;&gt;")=0,"",SUMIFS(Daten[Bedeutung Pkt.],Daten[myth_id],34,Daten[Zielgruppe],selectedGroup))</f>
        <v>71.08</v>
      </c>
      <c r="G35">
        <f>IF(COUNTIFS(Daten[myth_id],34,Daten[Zielgruppe],selectedGroup,Daten[Richtigkeit Pkt.],"&lt;&gt;")=0,"",SUMIFS(Daten[Richtigkeit Pkt.],Daten[myth_id],34,Daten[Zielgruppe],selectedGroup))</f>
        <v>54.17</v>
      </c>
      <c r="H35">
        <f>IF(COUNTIFS(Daten[myth_id],34,Daten[Zielgruppe],selectedGroup,Daten[Präventionsbedeutung Pkt.],"&lt;&gt;")=0,"",SUMIFS(Daten[Präventionsbedeutung Pkt.],Daten[myth_id],34,Daten[Zielgruppe],selectedGroup))</f>
        <v>44.25</v>
      </c>
      <c r="I35">
        <f>IF(COUNTIFS(Daten[myth_id],34,Daten[Zielgruppe],selectedGroup,Daten[Bevölkerungsrelevanz Pkt.],"&lt;&gt;")=0,"",SUMIFS(Daten[Bevölkerungsrelevanz Pkt.],Daten[myth_id],34,Daten[Zielgruppe],selectedGroup))</f>
        <v>14.5</v>
      </c>
      <c r="J35">
        <f t="shared" si="0"/>
        <v>1</v>
      </c>
      <c r="K35">
        <f t="shared" si="1"/>
        <v>1</v>
      </c>
      <c r="L35">
        <f t="shared" si="2"/>
        <v>1</v>
      </c>
      <c r="M35">
        <f t="shared" si="3"/>
        <v>1</v>
      </c>
      <c r="N35">
        <f>CHOOSE(sortIdx,$A35,COUNTIF(Live!$B$2:$B$43,"&lt;"&amp;$B35)+1,COUNTIF(Live!$C$2:$C$43,"&lt;"&amp;$C35)+1,IFERROR(VLOOKUP($D35,Listen!$H$2:$I$6,2,FALSE()),99),$E35,$F35,$G35,$H35,$I35)</f>
        <v>34</v>
      </c>
      <c r="O35">
        <f t="shared" si="4"/>
        <v>34.003500000000003</v>
      </c>
      <c r="P35">
        <f>IF($M35&lt;&gt;1,0,COUNTIFS(Live!$M$2:$M$43,1,Live!$O$2:$O$43,"&lt;"&amp;$O35)+1)</f>
        <v>34</v>
      </c>
    </row>
    <row r="36" spans="1:16" x14ac:dyDescent="0.25">
      <c r="A36">
        <v>35</v>
      </c>
      <c r="B36" t="s">
        <v>186</v>
      </c>
      <c r="C36" t="s">
        <v>69</v>
      </c>
      <c r="D36" t="s">
        <v>60</v>
      </c>
      <c r="E36">
        <f>IF(COUNTIFS(Daten[myth_id],35,Daten[Zielgruppe],selectedGroup,Daten[Kenntnis %],"&lt;&gt;")=0,"",SUMIFS(Daten[Kenntnis %],Daten[myth_id],35,Daten[Zielgruppe],selectedGroup))</f>
        <v>13.89</v>
      </c>
      <c r="F36">
        <f>IF(COUNTIFS(Daten[myth_id],35,Daten[Zielgruppe],selectedGroup,Daten[Bedeutung Pkt.],"&lt;&gt;")=0,"",SUMIFS(Daten[Bedeutung Pkt.],Daten[myth_id],35,Daten[Zielgruppe],selectedGroup))</f>
        <v>66.75</v>
      </c>
      <c r="G36">
        <f>IF(COUNTIFS(Daten[myth_id],35,Daten[Zielgruppe],selectedGroup,Daten[Richtigkeit Pkt.],"&lt;&gt;")=0,"",SUMIFS(Daten[Richtigkeit Pkt.],Daten[myth_id],35,Daten[Zielgruppe],selectedGroup))</f>
        <v>63.33</v>
      </c>
      <c r="H36">
        <f>IF(COUNTIFS(Daten[myth_id],35,Daten[Zielgruppe],selectedGroup,Daten[Präventionsbedeutung Pkt.],"&lt;&gt;")=0,"",SUMIFS(Daten[Präventionsbedeutung Pkt.],Daten[myth_id],35,Daten[Zielgruppe],selectedGroup))</f>
        <v>36.99</v>
      </c>
      <c r="I36">
        <f>IF(COUNTIFS(Daten[myth_id],35,Daten[Zielgruppe],selectedGroup,Daten[Bevölkerungsrelevanz Pkt.],"&lt;&gt;")=0,"",SUMIFS(Daten[Bevölkerungsrelevanz Pkt.],Daten[myth_id],35,Daten[Zielgruppe],selectedGroup))</f>
        <v>5.7</v>
      </c>
      <c r="J36">
        <f t="shared" si="0"/>
        <v>1</v>
      </c>
      <c r="K36">
        <f t="shared" si="1"/>
        <v>1</v>
      </c>
      <c r="L36">
        <f t="shared" si="2"/>
        <v>1</v>
      </c>
      <c r="M36">
        <f t="shared" si="3"/>
        <v>1</v>
      </c>
      <c r="N36">
        <f>CHOOSE(sortIdx,$A36,COUNTIF(Live!$B$2:$B$43,"&lt;"&amp;$B36)+1,COUNTIF(Live!$C$2:$C$43,"&lt;"&amp;$C36)+1,IFERROR(VLOOKUP($D36,Listen!$H$2:$I$6,2,FALSE()),99),$E36,$F36,$G36,$H36,$I36)</f>
        <v>35</v>
      </c>
      <c r="O36">
        <f t="shared" si="4"/>
        <v>35.003599999999999</v>
      </c>
      <c r="P36">
        <f>IF($M36&lt;&gt;1,0,COUNTIFS(Live!$M$2:$M$43,1,Live!$O$2:$O$43,"&lt;"&amp;$O36)+1)</f>
        <v>35</v>
      </c>
    </row>
    <row r="37" spans="1:16" x14ac:dyDescent="0.25">
      <c r="A37">
        <v>36</v>
      </c>
      <c r="B37" t="s">
        <v>189</v>
      </c>
      <c r="C37" t="s">
        <v>69</v>
      </c>
      <c r="D37" t="s">
        <v>60</v>
      </c>
      <c r="E37">
        <f>IF(COUNTIFS(Daten[myth_id],36,Daten[Zielgruppe],selectedGroup,Daten[Kenntnis %],"&lt;&gt;")=0,"",SUMIFS(Daten[Kenntnis %],Daten[myth_id],36,Daten[Zielgruppe],selectedGroup))</f>
        <v>27.8</v>
      </c>
      <c r="F37">
        <f>IF(COUNTIFS(Daten[myth_id],36,Daten[Zielgruppe],selectedGroup,Daten[Bedeutung Pkt.],"&lt;&gt;")=0,"",SUMIFS(Daten[Bedeutung Pkt.],Daten[myth_id],36,Daten[Zielgruppe],selectedGroup))</f>
        <v>69.36</v>
      </c>
      <c r="G37">
        <f>IF(COUNTIFS(Daten[myth_id],36,Daten[Zielgruppe],selectedGroup,Daten[Richtigkeit Pkt.],"&lt;&gt;")=0,"",SUMIFS(Daten[Richtigkeit Pkt.],Daten[myth_id],36,Daten[Zielgruppe],selectedGroup))</f>
        <v>55.28</v>
      </c>
      <c r="H37">
        <f>IF(COUNTIFS(Daten[myth_id],36,Daten[Zielgruppe],selectedGroup,Daten[Präventionsbedeutung Pkt.],"&lt;&gt;")=0,"",SUMIFS(Daten[Präventionsbedeutung Pkt.],Daten[myth_id],36,Daten[Zielgruppe],selectedGroup))</f>
        <v>42.95</v>
      </c>
      <c r="I37">
        <f>IF(COUNTIFS(Daten[myth_id],36,Daten[Zielgruppe],selectedGroup,Daten[Bevölkerungsrelevanz Pkt.],"&lt;&gt;")=0,"",SUMIFS(Daten[Bevölkerungsrelevanz Pkt.],Daten[myth_id],36,Daten[Zielgruppe],selectedGroup))</f>
        <v>12.9</v>
      </c>
      <c r="J37">
        <f t="shared" si="0"/>
        <v>1</v>
      </c>
      <c r="K37">
        <f t="shared" si="1"/>
        <v>1</v>
      </c>
      <c r="L37">
        <f t="shared" si="2"/>
        <v>1</v>
      </c>
      <c r="M37">
        <f t="shared" si="3"/>
        <v>1</v>
      </c>
      <c r="N37">
        <f>CHOOSE(sortIdx,$A37,COUNTIF(Live!$B$2:$B$43,"&lt;"&amp;$B37)+1,COUNTIF(Live!$C$2:$C$43,"&lt;"&amp;$C37)+1,IFERROR(VLOOKUP($D37,Listen!$H$2:$I$6,2,FALSE()),99),$E37,$F37,$G37,$H37,$I37)</f>
        <v>36</v>
      </c>
      <c r="O37">
        <f t="shared" si="4"/>
        <v>36.003700000000002</v>
      </c>
      <c r="P37">
        <f>IF($M37&lt;&gt;1,0,COUNTIFS(Live!$M$2:$M$43,1,Live!$O$2:$O$43,"&lt;"&amp;$O37)+1)</f>
        <v>36</v>
      </c>
    </row>
    <row r="38" spans="1:16" x14ac:dyDescent="0.25">
      <c r="A38">
        <v>37</v>
      </c>
      <c r="B38" t="s">
        <v>192</v>
      </c>
      <c r="C38" t="s">
        <v>69</v>
      </c>
      <c r="D38" t="s">
        <v>63</v>
      </c>
      <c r="E38">
        <f>IF(COUNTIFS(Daten[myth_id],37,Daten[Zielgruppe],selectedGroup,Daten[Kenntnis %],"&lt;&gt;")=0,"",SUMIFS(Daten[Kenntnis %],Daten[myth_id],37,Daten[Zielgruppe],selectedGroup))</f>
        <v>12.48</v>
      </c>
      <c r="F38">
        <f>IF(COUNTIFS(Daten[myth_id],37,Daten[Zielgruppe],selectedGroup,Daten[Bedeutung Pkt.],"&lt;&gt;")=0,"",SUMIFS(Daten[Bedeutung Pkt.],Daten[myth_id],37,Daten[Zielgruppe],selectedGroup))</f>
        <v>55.44</v>
      </c>
      <c r="G38">
        <f>IF(COUNTIFS(Daten[myth_id],37,Daten[Zielgruppe],selectedGroup,Daten[Richtigkeit Pkt.],"&lt;&gt;")=0,"",SUMIFS(Daten[Richtigkeit Pkt.],Daten[myth_id],37,Daten[Zielgruppe],selectedGroup))</f>
        <v>35.85</v>
      </c>
      <c r="H38">
        <f>IF(COUNTIFS(Daten[myth_id],37,Daten[Zielgruppe],selectedGroup,Daten[Präventionsbedeutung Pkt.],"&lt;&gt;")=0,"",SUMIFS(Daten[Präventionsbedeutung Pkt.],Daten[myth_id],37,Daten[Zielgruppe],selectedGroup))</f>
        <v>48.16</v>
      </c>
      <c r="I38">
        <f>IF(COUNTIFS(Daten[myth_id],37,Daten[Zielgruppe],selectedGroup,Daten[Bevölkerungsrelevanz Pkt.],"&lt;&gt;")=0,"",SUMIFS(Daten[Bevölkerungsrelevanz Pkt.],Daten[myth_id],37,Daten[Zielgruppe],selectedGroup))</f>
        <v>6.4</v>
      </c>
      <c r="J38">
        <f t="shared" si="0"/>
        <v>1</v>
      </c>
      <c r="K38">
        <f t="shared" si="1"/>
        <v>1</v>
      </c>
      <c r="L38">
        <f t="shared" si="2"/>
        <v>1</v>
      </c>
      <c r="M38">
        <f t="shared" si="3"/>
        <v>1</v>
      </c>
      <c r="N38">
        <f>CHOOSE(sortIdx,$A38,COUNTIF(Live!$B$2:$B$43,"&lt;"&amp;$B38)+1,COUNTIF(Live!$C$2:$C$43,"&lt;"&amp;$C38)+1,IFERROR(VLOOKUP($D38,Listen!$H$2:$I$6,2,FALSE()),99),$E38,$F38,$G38,$H38,$I38)</f>
        <v>37</v>
      </c>
      <c r="O38">
        <f t="shared" si="4"/>
        <v>37.003799999999998</v>
      </c>
      <c r="P38">
        <f>IF($M38&lt;&gt;1,0,COUNTIFS(Live!$M$2:$M$43,1,Live!$O$2:$O$43,"&lt;"&amp;$O38)+1)</f>
        <v>37</v>
      </c>
    </row>
    <row r="39" spans="1:16" x14ac:dyDescent="0.25">
      <c r="A39">
        <v>38</v>
      </c>
      <c r="B39" t="s">
        <v>193</v>
      </c>
      <c r="C39" t="s">
        <v>69</v>
      </c>
      <c r="D39" t="s">
        <v>63</v>
      </c>
      <c r="E39">
        <f>IF(COUNTIFS(Daten[myth_id],38,Daten[Zielgruppe],selectedGroup,Daten[Kenntnis %],"&lt;&gt;")=0,"",SUMIFS(Daten[Kenntnis %],Daten[myth_id],38,Daten[Zielgruppe],selectedGroup))</f>
        <v>13.91</v>
      </c>
      <c r="F39">
        <f>IF(COUNTIFS(Daten[myth_id],38,Daten[Zielgruppe],selectedGroup,Daten[Bedeutung Pkt.],"&lt;&gt;")=0,"",SUMIFS(Daten[Bedeutung Pkt.],Daten[myth_id],38,Daten[Zielgruppe],selectedGroup))</f>
        <v>30.78</v>
      </c>
      <c r="G39">
        <f>IF(COUNTIFS(Daten[myth_id],38,Daten[Zielgruppe],selectedGroup,Daten[Richtigkeit Pkt.],"&lt;&gt;")=0,"",SUMIFS(Daten[Richtigkeit Pkt.],Daten[myth_id],38,Daten[Zielgruppe],selectedGroup))</f>
        <v>61.8</v>
      </c>
      <c r="H39">
        <f>IF(COUNTIFS(Daten[myth_id],38,Daten[Zielgruppe],selectedGroup,Daten[Präventionsbedeutung Pkt.],"&lt;&gt;")=0,"",SUMIFS(Daten[Präventionsbedeutung Pkt.],Daten[myth_id],38,Daten[Zielgruppe],selectedGroup))</f>
        <v>23.73</v>
      </c>
      <c r="I39">
        <f>IF(COUNTIFS(Daten[myth_id],38,Daten[Zielgruppe],selectedGroup,Daten[Bevölkerungsrelevanz Pkt.],"&lt;&gt;")=0,"",SUMIFS(Daten[Bevölkerungsrelevanz Pkt.],Daten[myth_id],38,Daten[Zielgruppe],selectedGroup))</f>
        <v>4</v>
      </c>
      <c r="J39">
        <f t="shared" si="0"/>
        <v>1</v>
      </c>
      <c r="K39">
        <f t="shared" si="1"/>
        <v>1</v>
      </c>
      <c r="L39">
        <f t="shared" si="2"/>
        <v>1</v>
      </c>
      <c r="M39">
        <f t="shared" si="3"/>
        <v>1</v>
      </c>
      <c r="N39">
        <f>CHOOSE(sortIdx,$A39,COUNTIF(Live!$B$2:$B$43,"&lt;"&amp;$B39)+1,COUNTIF(Live!$C$2:$C$43,"&lt;"&amp;$C39)+1,IFERROR(VLOOKUP($D39,Listen!$H$2:$I$6,2,FALSE()),99),$E39,$F39,$G39,$H39,$I39)</f>
        <v>38</v>
      </c>
      <c r="O39">
        <f t="shared" si="4"/>
        <v>38.003900000000002</v>
      </c>
      <c r="P39">
        <f>IF($M39&lt;&gt;1,0,COUNTIFS(Live!$M$2:$M$43,1,Live!$O$2:$O$43,"&lt;"&amp;$O39)+1)</f>
        <v>38</v>
      </c>
    </row>
    <row r="40" spans="1:16" x14ac:dyDescent="0.25">
      <c r="A40">
        <v>39</v>
      </c>
      <c r="B40" t="s">
        <v>196</v>
      </c>
      <c r="C40" t="s">
        <v>70</v>
      </c>
      <c r="D40" t="s">
        <v>63</v>
      </c>
      <c r="E40">
        <f>IF(COUNTIFS(Daten[myth_id],39,Daten[Zielgruppe],selectedGroup,Daten[Kenntnis %],"&lt;&gt;")=0,"",SUMIFS(Daten[Kenntnis %],Daten[myth_id],39,Daten[Zielgruppe],selectedGroup))</f>
        <v>18.440000000000001</v>
      </c>
      <c r="F40">
        <f>IF(COUNTIFS(Daten[myth_id],39,Daten[Zielgruppe],selectedGroup,Daten[Bedeutung Pkt.],"&lt;&gt;")=0,"",SUMIFS(Daten[Bedeutung Pkt.],Daten[myth_id],39,Daten[Zielgruppe],selectedGroup))</f>
        <v>54.83</v>
      </c>
      <c r="G40">
        <f>IF(COUNTIFS(Daten[myth_id],39,Daten[Zielgruppe],selectedGroup,Daten[Richtigkeit Pkt.],"&lt;&gt;")=0,"",SUMIFS(Daten[Richtigkeit Pkt.],Daten[myth_id],39,Daten[Zielgruppe],selectedGroup))</f>
        <v>25.5</v>
      </c>
      <c r="H40">
        <f>IF(COUNTIFS(Daten[myth_id],39,Daten[Zielgruppe],selectedGroup,Daten[Präventionsbedeutung Pkt.],"&lt;&gt;")=0,"",SUMIFS(Daten[Präventionsbedeutung Pkt.],Daten[myth_id],39,Daten[Zielgruppe],selectedGroup))</f>
        <v>51.36</v>
      </c>
      <c r="I40">
        <f>IF(COUNTIFS(Daten[myth_id],39,Daten[Zielgruppe],selectedGroup,Daten[Bevölkerungsrelevanz Pkt.],"&lt;&gt;")=0,"",SUMIFS(Daten[Bevölkerungsrelevanz Pkt.],Daten[myth_id],39,Daten[Zielgruppe],selectedGroup))</f>
        <v>10</v>
      </c>
      <c r="J40">
        <f t="shared" si="0"/>
        <v>1</v>
      </c>
      <c r="K40">
        <f t="shared" si="1"/>
        <v>1</v>
      </c>
      <c r="L40">
        <f t="shared" si="2"/>
        <v>1</v>
      </c>
      <c r="M40">
        <f t="shared" si="3"/>
        <v>1</v>
      </c>
      <c r="N40">
        <f>CHOOSE(sortIdx,$A40,COUNTIF(Live!$B$2:$B$43,"&lt;"&amp;$B40)+1,COUNTIF(Live!$C$2:$C$43,"&lt;"&amp;$C40)+1,IFERROR(VLOOKUP($D40,Listen!$H$2:$I$6,2,FALSE()),99),$E40,$F40,$G40,$H40,$I40)</f>
        <v>39</v>
      </c>
      <c r="O40">
        <f t="shared" si="4"/>
        <v>39.003999999999998</v>
      </c>
      <c r="P40">
        <f>IF($M40&lt;&gt;1,0,COUNTIFS(Live!$M$2:$M$43,1,Live!$O$2:$O$43,"&lt;"&amp;$O40)+1)</f>
        <v>39</v>
      </c>
    </row>
    <row r="41" spans="1:16" x14ac:dyDescent="0.25">
      <c r="A41">
        <v>40</v>
      </c>
      <c r="B41" t="s">
        <v>199</v>
      </c>
      <c r="C41" t="s">
        <v>70</v>
      </c>
      <c r="D41" t="s">
        <v>63</v>
      </c>
      <c r="E41">
        <f>IF(COUNTIFS(Daten[myth_id],40,Daten[Zielgruppe],selectedGroup,Daten[Kenntnis %],"&lt;&gt;")=0,"",SUMIFS(Daten[Kenntnis %],Daten[myth_id],40,Daten[Zielgruppe],selectedGroup))</f>
        <v>17.850000000000001</v>
      </c>
      <c r="F41">
        <f>IF(COUNTIFS(Daten[myth_id],40,Daten[Zielgruppe],selectedGroup,Daten[Bedeutung Pkt.],"&lt;&gt;")=0,"",SUMIFS(Daten[Bedeutung Pkt.],Daten[myth_id],40,Daten[Zielgruppe],selectedGroup))</f>
        <v>52.1</v>
      </c>
      <c r="G41">
        <f>IF(COUNTIFS(Daten[myth_id],40,Daten[Zielgruppe],selectedGroup,Daten[Richtigkeit Pkt.],"&lt;&gt;")=0,"",SUMIFS(Daten[Richtigkeit Pkt.],Daten[myth_id],40,Daten[Zielgruppe],selectedGroup))</f>
        <v>35.76</v>
      </c>
      <c r="H41">
        <f>IF(COUNTIFS(Daten[myth_id],40,Daten[Zielgruppe],selectedGroup,Daten[Präventionsbedeutung Pkt.],"&lt;&gt;")=0,"",SUMIFS(Daten[Präventionsbedeutung Pkt.],Daten[myth_id],40,Daten[Zielgruppe],selectedGroup))</f>
        <v>44.39</v>
      </c>
      <c r="I41">
        <f>IF(COUNTIFS(Daten[myth_id],40,Daten[Zielgruppe],selectedGroup,Daten[Bevölkerungsrelevanz Pkt.],"&lt;&gt;")=0,"",SUMIFS(Daten[Bevölkerungsrelevanz Pkt.],Daten[myth_id],40,Daten[Zielgruppe],selectedGroup))</f>
        <v>8.5</v>
      </c>
      <c r="J41">
        <f t="shared" si="0"/>
        <v>1</v>
      </c>
      <c r="K41">
        <f t="shared" si="1"/>
        <v>1</v>
      </c>
      <c r="L41">
        <f t="shared" si="2"/>
        <v>1</v>
      </c>
      <c r="M41">
        <f t="shared" si="3"/>
        <v>1</v>
      </c>
      <c r="N41">
        <f>CHOOSE(sortIdx,$A41,COUNTIF(Live!$B$2:$B$43,"&lt;"&amp;$B41)+1,COUNTIF(Live!$C$2:$C$43,"&lt;"&amp;$C41)+1,IFERROR(VLOOKUP($D41,Listen!$H$2:$I$6,2,FALSE()),99),$E41,$F41,$G41,$H41,$I41)</f>
        <v>40</v>
      </c>
      <c r="O41">
        <f t="shared" si="4"/>
        <v>40.004100000000001</v>
      </c>
      <c r="P41">
        <f>IF($M41&lt;&gt;1,0,COUNTIFS(Live!$M$2:$M$43,1,Live!$O$2:$O$43,"&lt;"&amp;$O41)+1)</f>
        <v>40</v>
      </c>
    </row>
    <row r="42" spans="1:16" x14ac:dyDescent="0.25">
      <c r="A42">
        <v>41</v>
      </c>
      <c r="B42" t="s">
        <v>202</v>
      </c>
      <c r="C42" t="s">
        <v>70</v>
      </c>
      <c r="D42" t="s">
        <v>53</v>
      </c>
      <c r="E42">
        <f>IF(COUNTIFS(Daten[myth_id],41,Daten[Zielgruppe],selectedGroup,Daten[Kenntnis %],"&lt;&gt;")=0,"",SUMIFS(Daten[Kenntnis %],Daten[myth_id],41,Daten[Zielgruppe],selectedGroup))</f>
        <v>47.56</v>
      </c>
      <c r="F42">
        <f>IF(COUNTIFS(Daten[myth_id],41,Daten[Zielgruppe],selectedGroup,Daten[Bedeutung Pkt.],"&lt;&gt;")=0,"",SUMIFS(Daten[Bedeutung Pkt.],Daten[myth_id],41,Daten[Zielgruppe],selectedGroup))</f>
        <v>66.33</v>
      </c>
      <c r="G42">
        <f>IF(COUNTIFS(Daten[myth_id],41,Daten[Zielgruppe],selectedGroup,Daten[Richtigkeit Pkt.],"&lt;&gt;")=0,"",SUMIFS(Daten[Richtigkeit Pkt.],Daten[myth_id],41,Daten[Zielgruppe],selectedGroup))</f>
        <v>79.260000000000005</v>
      </c>
      <c r="H42">
        <f>IF(COUNTIFS(Daten[myth_id],41,Daten[Zielgruppe],selectedGroup,Daten[Präventionsbedeutung Pkt.],"&lt;&gt;")=0,"",SUMIFS(Daten[Präventionsbedeutung Pkt.],Daten[myth_id],41,Daten[Zielgruppe],selectedGroup))</f>
        <v>23.37</v>
      </c>
      <c r="I42">
        <f>IF(COUNTIFS(Daten[myth_id],41,Daten[Zielgruppe],selectedGroup,Daten[Bevölkerungsrelevanz Pkt.],"&lt;&gt;")=0,"",SUMIFS(Daten[Bevölkerungsrelevanz Pkt.],Daten[myth_id],41,Daten[Zielgruppe],selectedGroup))</f>
        <v>13.4</v>
      </c>
      <c r="J42">
        <f t="shared" si="0"/>
        <v>1</v>
      </c>
      <c r="K42">
        <f t="shared" si="1"/>
        <v>1</v>
      </c>
      <c r="L42">
        <f t="shared" si="2"/>
        <v>1</v>
      </c>
      <c r="M42">
        <f t="shared" si="3"/>
        <v>1</v>
      </c>
      <c r="N42">
        <f>CHOOSE(sortIdx,$A42,COUNTIF(Live!$B$2:$B$43,"&lt;"&amp;$B42)+1,COUNTIF(Live!$C$2:$C$43,"&lt;"&amp;$C42)+1,IFERROR(VLOOKUP($D42,Listen!$H$2:$I$6,2,FALSE()),99),$E42,$F42,$G42,$H42,$I42)</f>
        <v>41</v>
      </c>
      <c r="O42">
        <f t="shared" si="4"/>
        <v>41.004199999999997</v>
      </c>
      <c r="P42">
        <f>IF($M42&lt;&gt;1,0,COUNTIFS(Live!$M$2:$M$43,1,Live!$O$2:$O$43,"&lt;"&amp;$O42)+1)</f>
        <v>41</v>
      </c>
    </row>
    <row r="43" spans="1:16" x14ac:dyDescent="0.25">
      <c r="A43">
        <v>42</v>
      </c>
      <c r="B43" t="s">
        <v>205</v>
      </c>
      <c r="C43" t="s">
        <v>70</v>
      </c>
      <c r="D43" t="s">
        <v>60</v>
      </c>
      <c r="E43">
        <f>IF(COUNTIFS(Daten[myth_id],42,Daten[Zielgruppe],selectedGroup,Daten[Kenntnis %],"&lt;&gt;")=0,"",SUMIFS(Daten[Kenntnis %],Daten[myth_id],42,Daten[Zielgruppe],selectedGroup))</f>
        <v>42.19</v>
      </c>
      <c r="F43">
        <f>IF(COUNTIFS(Daten[myth_id],42,Daten[Zielgruppe],selectedGroup,Daten[Bedeutung Pkt.],"&lt;&gt;")=0,"",SUMIFS(Daten[Bedeutung Pkt.],Daten[myth_id],42,Daten[Zielgruppe],selectedGroup))</f>
        <v>71.88</v>
      </c>
      <c r="G43">
        <f>IF(COUNTIFS(Daten[myth_id],42,Daten[Zielgruppe],selectedGroup,Daten[Richtigkeit Pkt.],"&lt;&gt;")=0,"",SUMIFS(Daten[Richtigkeit Pkt.],Daten[myth_id],42,Daten[Zielgruppe],selectedGroup))</f>
        <v>53.06</v>
      </c>
      <c r="H43">
        <f>IF(COUNTIFS(Daten[myth_id],42,Daten[Zielgruppe],selectedGroup,Daten[Präventionsbedeutung Pkt.],"&lt;&gt;")=0,"",SUMIFS(Daten[Präventionsbedeutung Pkt.],Daten[myth_id],42,Daten[Zielgruppe],selectedGroup))</f>
        <v>45.73</v>
      </c>
      <c r="I43">
        <f>IF(COUNTIFS(Daten[myth_id],42,Daten[Zielgruppe],selectedGroup,Daten[Bevölkerungsrelevanz Pkt.],"&lt;&gt;")=0,"",SUMIFS(Daten[Bevölkerungsrelevanz Pkt.],Daten[myth_id],42,Daten[Zielgruppe],selectedGroup))</f>
        <v>20.7</v>
      </c>
      <c r="J43">
        <f t="shared" si="0"/>
        <v>1</v>
      </c>
      <c r="K43">
        <f t="shared" si="1"/>
        <v>1</v>
      </c>
      <c r="L43">
        <f t="shared" si="2"/>
        <v>1</v>
      </c>
      <c r="M43">
        <f t="shared" si="3"/>
        <v>1</v>
      </c>
      <c r="N43">
        <f>CHOOSE(sortIdx,$A43,COUNTIF(Live!$B$2:$B$43,"&lt;"&amp;$B43)+1,COUNTIF(Live!$C$2:$C$43,"&lt;"&amp;$C43)+1,IFERROR(VLOOKUP($D43,Listen!$H$2:$I$6,2,FALSE()),99),$E43,$F43,$G43,$H43,$I43)</f>
        <v>42</v>
      </c>
      <c r="O43">
        <f t="shared" si="4"/>
        <v>42.004300000000001</v>
      </c>
      <c r="P43">
        <f>IF($M43&lt;&gt;1,0,COUNTIFS(Live!$M$2:$M$43,1,Live!$O$2:$O$43,"&lt;"&amp;$O43)+1)</f>
        <v>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13</vt:i4>
      </vt:variant>
    </vt:vector>
  </HeadingPairs>
  <TitlesOfParts>
    <vt:vector size="19" baseType="lpstr">
      <vt:lpstr>Mythen-Dashboard</vt:lpstr>
      <vt:lpstr>Erläuterungen</vt:lpstr>
      <vt:lpstr>Listen</vt:lpstr>
      <vt:lpstr>Daten</vt:lpstr>
      <vt:lpstr>Mythen</vt:lpstr>
      <vt:lpstr>Live</vt:lpstr>
      <vt:lpstr>KategorieListe</vt:lpstr>
      <vt:lpstr>katFilter</vt:lpstr>
      <vt:lpstr>klassFilter</vt:lpstr>
      <vt:lpstr>KlassifikationsListe</vt:lpstr>
      <vt:lpstr>ReihenfolgeListe</vt:lpstr>
      <vt:lpstr>selectedGroup</vt:lpstr>
      <vt:lpstr>sortDir</vt:lpstr>
      <vt:lpstr>sortFeld</vt:lpstr>
      <vt:lpstr>SortFelderListe</vt:lpstr>
      <vt:lpstr>sortIdx</vt:lpstr>
      <vt:lpstr>sortReihen</vt:lpstr>
      <vt:lpstr>sucheText</vt:lpstr>
      <vt:lpstr>ZielgruppenListe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CS</cp:lastModifiedBy>
  <cp:revision>0</cp:revision>
  <dcterms:created xsi:type="dcterms:W3CDTF">2026-05-15T11:38:50Z</dcterms:created>
  <dcterms:modified xsi:type="dcterms:W3CDTF">2026-06-01T12:20:43Z</dcterms:modified>
  <dc:language>en-US</dc:language>
</cp:coreProperties>
</file>