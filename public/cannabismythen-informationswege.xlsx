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Kanäle-Dashboard" sheetId="1" r:id="rId1"/>
    <sheet name="Erläuterungen" sheetId="2" r:id="rId2"/>
    <sheet name="Listen" sheetId="3" r:id="rId3"/>
    <sheet name="Daten" sheetId="4" r:id="rId4"/>
    <sheet name="Kanäle" sheetId="5" r:id="rId5"/>
    <sheet name="Live" sheetId="6" r:id="rId6"/>
  </sheets>
  <definedNames>
    <definedName name="KategorieListe">Listen!$B$2:$B$8</definedName>
    <definedName name="katFilter">'Kanäle-Dashboard'!$C$7</definedName>
    <definedName name="ReihenfolgeListe">Listen!$E$2:$E$3</definedName>
    <definedName name="selectedGroup">'Kanäle-Dashboard'!$C$6</definedName>
    <definedName name="sortDir">Listen!$G$3</definedName>
    <definedName name="sortFeld">'Kanäle-Dashboard'!$F$6</definedName>
    <definedName name="SortFelderListe">Listen!$C$2:$C$8</definedName>
    <definedName name="sortIdx">Listen!$G$2</definedName>
    <definedName name="sortReihen">'Kanäle-Dashboard'!$F$7</definedName>
    <definedName name="sucheText">'Kanäle-Dashboard'!$C$8</definedName>
    <definedName name="ZielgruppenListe">Listen!$A$2:$A$6</definedName>
  </definedNames>
  <calcPr calcId="124519" fullCalcOnLoad="1"/>
</workbook>
</file>

<file path=xl/sharedStrings.xml><?xml version="1.0" encoding="utf-8"?>
<sst xmlns="http://schemas.openxmlformats.org/spreadsheetml/2006/main" count="719" uniqueCount="121">
  <si>
    <t>Zielgruppen</t>
  </si>
  <si>
    <t>Kategorien</t>
  </si>
  <si>
    <t>Sortierfeld</t>
  </si>
  <si>
    <t>SpaltenIndex</t>
  </si>
  <si>
    <t>Reihenfolge</t>
  </si>
  <si>
    <t>Berechnet</t>
  </si>
  <si>
    <t>Volljährige (18–70 J.)</t>
  </si>
  <si>
    <t>Minderjährige (16–17 J.)</t>
  </si>
  <si>
    <t>Konsument:innen</t>
  </si>
  <si>
    <t>Junge Erwachsene (18–26 J.)</t>
  </si>
  <si>
    <t>Eltern</t>
  </si>
  <si>
    <t>Alle</t>
  </si>
  <si>
    <t>Institutionell</t>
  </si>
  <si>
    <t>Internet</t>
  </si>
  <si>
    <t>Soziale Medien</t>
  </si>
  <si>
    <t>Traditionelle Medien</t>
  </si>
  <si>
    <t>Print / Physisch</t>
  </si>
  <si>
    <t>Persönliches Umfeld</t>
  </si>
  <si>
    <t>Kanal-Nr.</t>
  </si>
  <si>
    <t>Kanal</t>
  </si>
  <si>
    <t>Kategorie</t>
  </si>
  <si>
    <t>Suche %</t>
  </si>
  <si>
    <t>Wahrnehmung %</t>
  </si>
  <si>
    <t>Vertrauen</t>
  </si>
  <si>
    <t>Präventionspotential</t>
  </si>
  <si>
    <t>Aufsteigend</t>
  </si>
  <si>
    <t>Absteigend</t>
  </si>
  <si>
    <t>Daten-Lookup: Kanal × Zielgruppe × Indikatoren (Quelle: information-sources.json / CaRM Tab. 4.12–4.15)</t>
  </si>
  <si>
    <t>source_id</t>
  </si>
  <si>
    <t>group_id</t>
  </si>
  <si>
    <t>Zielgruppe</t>
  </si>
  <si>
    <t>Vertrauen Pkt.</t>
  </si>
  <si>
    <t>Präventionspotential Pkt.</t>
  </si>
  <si>
    <t>adults</t>
  </si>
  <si>
    <t>minors</t>
  </si>
  <si>
    <t>consumers</t>
  </si>
  <si>
    <t>young_adults</t>
  </si>
  <si>
    <t>parents</t>
  </si>
  <si>
    <t>Kanäle-Stammdaten — 44 Einträge (24 Hauptkanäle + 20 Unterkanäle ↳). Quelle: information-sources.json</t>
  </si>
  <si>
    <t>parentId</t>
  </si>
  <si>
    <t>Angehörige</t>
  </si>
  <si>
    <t>Apotheke / Arztpraxis</t>
  </si>
  <si>
    <t xml:space="preserve">  ↳ persönlich</t>
  </si>
  <si>
    <t xml:space="preserve">  ↳ Internet</t>
  </si>
  <si>
    <t>Krankenkasse</t>
  </si>
  <si>
    <t>Beratungsstelle</t>
  </si>
  <si>
    <t>Behörde / Kommune</t>
  </si>
  <si>
    <t>Nachrichtenseiten</t>
  </si>
  <si>
    <t>Med. Seiten / Gesundheitsportale</t>
  </si>
  <si>
    <t>Foren</t>
  </si>
  <si>
    <t>Suchmaschinen</t>
  </si>
  <si>
    <t>Videosammlungen</t>
  </si>
  <si>
    <t>Podcasts</t>
  </si>
  <si>
    <t>Influencer:innen</t>
  </si>
  <si>
    <t xml:space="preserve">  ↳ Posts öffentl. Einrichtungen</t>
  </si>
  <si>
    <t xml:space="preserve">  ↳ Posts Privatpersonen</t>
  </si>
  <si>
    <t>Radio (Info- / Diskussionssendungen)</t>
  </si>
  <si>
    <t>Fernsehen (Info- / Diskussionssendungen)</t>
  </si>
  <si>
    <t>Zeitung, gedruckt</t>
  </si>
  <si>
    <t>Fachzeitschrift</t>
  </si>
  <si>
    <t>Anzeigenblatt (kostenlos)</t>
  </si>
  <si>
    <t>Apothekenumschau (kostenlos)</t>
  </si>
  <si>
    <t>Bibliothek</t>
  </si>
  <si>
    <t>Plakat / Flyer</t>
  </si>
  <si>
    <t xml:space="preserve">  ↳ Arzt</t>
  </si>
  <si>
    <t xml:space="preserve">  ↳ Sportverein</t>
  </si>
  <si>
    <t xml:space="preserve">  ↳ U- + S-Bahn</t>
  </si>
  <si>
    <t xml:space="preserve">  ↳ Berufsschule + Uni</t>
  </si>
  <si>
    <t xml:space="preserve">  ↳ Betrieb + Firma</t>
  </si>
  <si>
    <t>Infoscreen</t>
  </si>
  <si>
    <t xml:space="preserve">  ↳ im Ort</t>
  </si>
  <si>
    <t xml:space="preserve">  ↳ an der Straße</t>
  </si>
  <si>
    <t xml:space="preserve">  ↳ im Nahverkehr</t>
  </si>
  <si>
    <t>Kurzer Beitrag TV + Radio</t>
  </si>
  <si>
    <t>Internet-Newsletter</t>
  </si>
  <si>
    <t>_katMatch</t>
  </si>
  <si>
    <t>_sucheMatch</t>
  </si>
  <si>
    <t>_includeFlag</t>
  </si>
  <si>
    <t>_rawSort</t>
  </si>
  <si>
    <t>_sortKey</t>
  </si>
  <si>
    <t>_rank</t>
  </si>
  <si>
    <t>Erläuterungen — Begriffe und Lesehinweise zum Informationswege-Explorer</t>
  </si>
  <si>
    <t>Worum geht es?</t>
  </si>
  <si>
    <t>Diese Datei zeigt, über welche Informationswege (Kommunikationskanäle) sich die fünf cannabispräventiven Zielgruppen Gesundheitsinformationen — u. a. zu Cannabis — beschaffen, wo sie sie ungeplant wahrnehmen, wem sie vertrauen und welches Präventionspotential daraus folgt. Quelle: Forschungsprojekt CaRM (Cannabis – Risiken und Mythen, ISD Hamburg), Tab. 4.12–4.15. Über die Filter und die Sortierung im Tab „Kanäle-Dashboard“ lassen sich die 44 Kanäle nach Zielgruppe, Kategorie oder Indikator erschließen.</t>
  </si>
  <si>
    <t>Wichtig — keine Nachrechnung</t>
  </si>
  <si>
    <t>Die ausgewiesenen Werte sind das Ergebnis methodischer Transformationen: Standardisierung in den Wertebereich 0–100 (Punkte) bzw. gewichtete Anteile (%). Eine eigenständige Nachrechnung anhand der hier gezeigten Zahlen ist nicht möglich, weil zu viele Zwischenschritte fehlen.</t>
  </si>
  <si>
    <t>Datengrundlage</t>
  </si>
  <si>
    <t>Fünf Befragungsgruppen, Sommer 2025: Volljährige (18–70 J., n = 2.097, gewichtet), Minderjährige (16–17 J., n = 555, gewichtet), Konsument:innen der letzten 30 Tage (n = 358), Junge Erwachsene (18–26 J., n = 333) und Eltern minderjähriger Kinder (n = 539). Quelle: ISD Hamburg, Forschungsprojekt CaRM.</t>
  </si>
  <si>
    <t>Mit dem Dropdown „Zielgruppe“ wechseln alle vier Indikator-Spalten zwischen den fünf Gruppen. Volljährige (18–70 J.): Stichprobe der Bevölkerung (18–70 J.), gewichtet nach Geschlecht, Alter, Bildung und Migrationshintergrund. Minderjährige (16–17 J.): Stichprobe der 16–17-Jährigen aus dem Horizoom-Jugendpanel. Konsument:innen: Personen mit Cannabis-Konsum in den letzten 30 Tagen (30-Tage-Prävalenz). Junge Erwachsene (18–26 J.): Teilgruppe der Volljährigen im Alter von 18–26 Jahren. Eltern: Volljährige mit mindestens einem Kind unter 18 Jahren.</t>
  </si>
  <si>
    <t>Suche (%)</t>
  </si>
  <si>
    <t>Anteil der Befragten, die diesen Kanal aktiv zur Information nutzen würden. Skala: 0–100 %. (CaRM Tab. 4.12)</t>
  </si>
  <si>
    <t>Wahrnehmung (%)</t>
  </si>
  <si>
    <t>Anteil, der über diesen Kanal ungeplant Gesundheitsinformationen wahrnimmt. Skala: 0–100 %. (CaRM Tab. 4.13)</t>
  </si>
  <si>
    <t>Vertrauen (Punkte)</t>
  </si>
  <si>
    <t>Eingeschätzte Vertrauenswürdigkeit der Quelle (0–100). Skala: 0–100 Punkte. (CaRM Tab. 4.14)</t>
  </si>
  <si>
    <t>Präventionspotential (Punkte)</t>
  </si>
  <si>
    <t>Kombinierter Wert aus Suche, Wahrnehmung und Vertrauen. Höher = größeres Potential für Prävention. Skala: 0–100 Punkte. (CaRM Tab. 4.15)</t>
  </si>
  <si>
    <t>Nicht jede Kennzahl für jeden Kanal</t>
  </si>
  <si>
    <t>Suche wurde für 32 Kanäle erhoben, Wahrnehmung für 12, Vertrauen und Präventionspotential je für 25. Wo ein Kanal in einer Kennzahl nicht erhoben wurde, bleibt die Zelle leer (kein Datenbalken). Das entspricht der Auswertungslogik im CaRM-Projekt.</t>
  </si>
  <si>
    <t>Kategorien (Farbcodierung)</t>
  </si>
  <si>
    <t>Die Kanäle sind sechs Kategorien zugeordnet, die in der Spalte „Kategorie“ farblich markiert sind: Institutionell (blau), Internet (violett), Soziale Medien (türkis), Traditionelle Medien (orange), Print / Physisch (pink), Persönliches Umfeld (grau).</t>
  </si>
  <si>
    <t>Haupt- und Unterkanäle</t>
  </si>
  <si>
    <t>Mit „↳“ eingerückte Zeilen sind Unterkanäle eines übergeordneten Kanals (z. B. „Apotheke / Arztpraxis“ → „↳ persönlich“ / „↳ Internet“). Die Zuordnung steht im Tab „Kanäle“ (Spalte parentId).</t>
  </si>
  <si>
    <t>Filter und Sortierung</t>
  </si>
  <si>
    <t>Filter (Zielgruppe, Kategorie, Suche im Kanal-Namen) und die beiden Sortierregler kombinieren sich. Das Feld „Treffer“ zeigt, wie viele der 44 Kanäle aktuell sichtbar sind. „Suche“ ist eine Teilwort-Suche; Groß- und Kleinschreibung werden ignoriert.</t>
  </si>
  <si>
    <t>Lesart der Stichproben</t>
  </si>
  <si>
    <t>Die Stichproben beziehen sich auf Erwachsene (18–70 J.), Minderjährige (16–17 J.) sowie Konsument:innen, junge Erwachsene und Eltern in einer Bevölkerungsbefragung in Deutschland — nicht auf „die Bevölkerung“ im Sinne aller rund 80 Mio. Menschen. Bitte diese Lesart bei der Weiterverwendung beibehalten.</t>
  </si>
  <si>
    <t>Cannabis: Mythen &amp; Evidenz — Informationswege-Explorer für Präventionsfachkräfte</t>
  </si>
  <si>
    <t>Datengrundlage: fünf Befragungsgruppen, Sommer 2025 — Volljährige (18–70 J., n=2.097) und Minderjährige (16–17 J., n=555), beide gewichtet, sowie Konsument:innen (letzte 30 Tage, n=358), Junge Erwachsene (18–26 J., n=333) und Eltern (n=539). Werte: Suche/Wahrnehmung in %, Vertrauen/Präventionspotential in Punkten (0–100). CaRM, ISD Hamburg.</t>
  </si>
  <si>
    <t>⚠ WICHTIG — Keine Nachrechnung möglich: Die Werte sind methodisch standardisiert (0–100 Punkte) bzw. gewichtete Anteile (%). Eine eigenständige Nachrechnung ist nicht möglich, da Zwischenschritte fehlen. Nicht jeder Kanal wird in jeder Kennzahl erhoben — eine leere Zelle bedeutet „nicht erhoben“. Vollständige Erläuterungen → Tab „Erläuterungen“.</t>
  </si>
  <si>
    <t>FILTER UND SUCHE</t>
  </si>
  <si>
    <t>SORTIEREN UND ÜBERBLICK</t>
  </si>
  <si>
    <t>Suche in „Kanal“</t>
  </si>
  <si>
    <t>Sortieren nach</t>
  </si>
  <si>
    <t>Treffer</t>
  </si>
  <si>
    <t>Kürzeste Lesehilfe: Spalte „Kategorie“ farbcodiert (Legende → Tab „Erläuterungen“). Suche / Wahrnehmung = % der Zielgruppe; Vertrauen / Präventionspotential = Punkte 0–100 (höher = stärker). Leere Zelle = in dieser Kennzahl nicht erhoben.</t>
  </si>
  <si>
    <t>Nr.</t>
  </si>
  <si>
    <t>Suche
%</t>
  </si>
  <si>
    <t>Wahrn.
%</t>
  </si>
  <si>
    <t>Vertrauen
Punkte</t>
  </si>
  <si>
    <t>Präv.-Potential
Punkte</t>
  </si>
</sst>
</file>

<file path=xl/styles.xml><?xml version="1.0" encoding="utf-8"?>
<styleSheet xmlns="http://schemas.openxmlformats.org/spreadsheetml/2006/main">
  <numFmts count="2">
    <numFmt numFmtId="164" formatCode="0&quot; %&quot;;;&quot;&quot;"/>
    <numFmt numFmtId="165" formatCode="0;;&quot;&quot;"/>
  </numFmts>
  <fonts count="12">
    <font>
      <sz val="11"/>
      <color theme="1"/>
      <name val="Calibri"/>
      <family val="2"/>
      <scheme val="minor"/>
    </font>
    <font>
      <b/>
      <sz val="16"/>
      <color rgb="FFFFFFFF"/>
      <name val="Arial"/>
      <family val="2"/>
    </font>
    <font>
      <sz val="10"/>
      <color rgb="FF4A5568"/>
      <name val="Arial"/>
      <family val="2"/>
    </font>
    <font>
      <b/>
      <sz val="10"/>
      <color rgb="FF744210"/>
      <name val="Arial"/>
      <family val="2"/>
    </font>
    <font>
      <b/>
      <sz val="10"/>
      <color rgb="FFFFFFFF"/>
      <name val="Arial"/>
      <family val="2"/>
    </font>
    <font>
      <b/>
      <sz val="10"/>
      <color rgb="FF2D3748"/>
      <name val="Arial"/>
      <family val="2"/>
    </font>
    <font>
      <b/>
      <sz val="11"/>
      <color rgb="FF162A3B"/>
      <name val="Arial"/>
      <family val="2"/>
    </font>
    <font>
      <sz val="10"/>
      <color rgb="FF2D3748"/>
      <name val="Arial"/>
      <family val="2"/>
    </font>
    <font>
      <b/>
      <sz val="14"/>
      <color rgb="FFFFFFFF"/>
      <name val="Arial"/>
      <family val="2"/>
    </font>
    <font>
      <b/>
      <sz val="10"/>
      <color rgb="FF162A3B"/>
      <name val="Arial"/>
      <family val="2"/>
    </font>
    <font>
      <i/>
      <sz val="10"/>
      <color rgb="FF4A5568"/>
      <name val="Arial"/>
      <family val="2"/>
    </font>
    <font>
      <b/>
      <sz val="9"/>
      <color rgb="FFFFFFFF"/>
      <name val="Arial"/>
      <family val="2"/>
    </font>
  </fonts>
  <fills count="8">
    <fill>
      <patternFill patternType="none"/>
    </fill>
    <fill>
      <patternFill patternType="gray125"/>
    </fill>
    <fill>
      <patternFill patternType="solid">
        <fgColor rgb="FF1F3A52"/>
        <bgColor indexed="64"/>
      </patternFill>
    </fill>
    <fill>
      <patternFill patternType="solid">
        <fgColor rgb="FFF7FAFC"/>
        <bgColor indexed="64"/>
      </patternFill>
    </fill>
    <fill>
      <patternFill patternType="solid">
        <fgColor rgb="FFFEF3C7"/>
        <bgColor indexed="64"/>
      </patternFill>
    </fill>
    <fill>
      <patternFill patternType="solid">
        <fgColor rgb="FFEDF2F7"/>
        <bgColor indexed="64"/>
      </patternFill>
    </fill>
    <fill>
      <patternFill patternType="solid">
        <fgColor rgb="FFFFFACC"/>
        <bgColor indexed="64"/>
      </patternFill>
    </fill>
    <fill>
      <patternFill patternType="solid">
        <fgColor rgb="FF2C4A6B"/>
        <bgColor indexed="64"/>
      </patternFill>
    </fill>
  </fills>
  <borders count="4">
    <border>
      <left/>
      <right/>
      <top/>
      <bottom/>
      <diagonal/>
    </border>
    <border>
      <left style="thin">
        <color rgb="FFD6B95C"/>
      </left>
      <right style="thin">
        <color rgb="FFD6B95C"/>
      </right>
      <top style="thin">
        <color rgb="FFD6B95C"/>
      </top>
      <bottom style="thin">
        <color rgb="FFD6B95C"/>
      </bottom>
      <diagonal/>
    </border>
    <border>
      <left style="thin">
        <color rgb="FF21384F"/>
      </left>
      <right style="thin">
        <color rgb="FF21384F"/>
      </right>
      <top style="thin">
        <color rgb="FF21384F"/>
      </top>
      <bottom style="thin">
        <color rgb="FF21384F"/>
      </bottom>
      <diagonal/>
    </border>
    <border>
      <left style="thin">
        <color rgb="FFCBD5E0"/>
      </left>
      <right style="thin">
        <color rgb="FFCBD5E0"/>
      </right>
      <top style="thin">
        <color rgb="FFCBD5E0"/>
      </top>
      <bottom style="thin">
        <color rgb="FFCBD5E0"/>
      </bottom>
      <diagonal/>
    </border>
  </borders>
  <cellStyleXfs count="1">
    <xf numFmtId="0" fontId="0" fillId="0" borderId="0"/>
  </cellStyleXfs>
  <cellXfs count="22">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0" xfId="0" applyFont="1" applyFill="1" applyAlignment="1">
      <alignment horizontal="left" vertical="center" wrapText="1"/>
    </xf>
    <xf numFmtId="0" fontId="4" fillId="2" borderId="0" xfId="0" applyFont="1" applyFill="1" applyAlignment="1">
      <alignment horizontal="left" vertical="center"/>
    </xf>
    <xf numFmtId="0" fontId="5" fillId="5" borderId="0" xfId="0" applyFont="1" applyFill="1" applyAlignment="1">
      <alignment horizontal="right" vertical="center"/>
    </xf>
    <xf numFmtId="0" fontId="6" fillId="6" borderId="1" xfId="0" applyFont="1" applyFill="1" applyBorder="1" applyAlignment="1">
      <alignment horizontal="left" vertical="center"/>
    </xf>
    <xf numFmtId="0" fontId="6" fillId="5" borderId="0" xfId="0" applyFont="1" applyFill="1" applyAlignment="1">
      <alignment horizontal="left" vertical="center"/>
    </xf>
    <xf numFmtId="0" fontId="4" fillId="7" borderId="2" xfId="0" applyFont="1" applyFill="1" applyBorder="1" applyAlignment="1">
      <alignment horizontal="center" vertical="center" wrapText="1"/>
    </xf>
    <xf numFmtId="0" fontId="4" fillId="7" borderId="2" xfId="0" applyFont="1" applyFill="1" applyBorder="1" applyAlignment="1">
      <alignment horizontal="left" vertical="center" wrapText="1"/>
    </xf>
    <xf numFmtId="0" fontId="7" fillId="0" borderId="0" xfId="0" applyFont="1" applyAlignment="1">
      <alignment horizontal="center" vertical="center"/>
    </xf>
    <xf numFmtId="0" fontId="7" fillId="0" borderId="0" xfId="0" applyFont="1" applyAlignment="1">
      <alignment horizontal="left" vertical="center" wrapText="1"/>
    </xf>
    <xf numFmtId="0" fontId="7" fillId="0" borderId="0" xfId="0" applyFont="1" applyAlignment="1">
      <alignment horizontal="left" vertical="center"/>
    </xf>
    <xf numFmtId="164" fontId="7" fillId="0" borderId="0" xfId="0" applyNumberFormat="1" applyFont="1" applyAlignment="1">
      <alignment horizontal="center" vertical="center"/>
    </xf>
    <xf numFmtId="165" fontId="7" fillId="0" borderId="0" xfId="0" applyNumberFormat="1" applyFont="1" applyAlignment="1">
      <alignment horizontal="center" vertical="center"/>
    </xf>
    <xf numFmtId="0" fontId="8" fillId="2" borderId="0" xfId="0" applyFont="1" applyFill="1" applyAlignment="1">
      <alignment horizontal="left" vertical="center"/>
    </xf>
    <xf numFmtId="0" fontId="9" fillId="5" borderId="3" xfId="0" applyFont="1" applyFill="1" applyBorder="1" applyAlignment="1">
      <alignment horizontal="left" vertical="top" wrapText="1"/>
    </xf>
    <xf numFmtId="0" fontId="7" fillId="0" borderId="3" xfId="0" applyFont="1" applyBorder="1" applyAlignment="1">
      <alignment horizontal="left" vertical="top" wrapText="1"/>
    </xf>
    <xf numFmtId="0" fontId="4" fillId="7" borderId="0" xfId="0" applyFont="1" applyFill="1"/>
    <xf numFmtId="0" fontId="7" fillId="0" borderId="0" xfId="0" applyFont="1"/>
    <xf numFmtId="0" fontId="10" fillId="0" borderId="0" xfId="0" applyFont="1"/>
    <xf numFmtId="0" fontId="11" fillId="7" borderId="0" xfId="0" applyFont="1" applyFill="1"/>
  </cellXfs>
  <cellStyles count="1">
    <cellStyle name="Normal" xfId="0" builtinId="0"/>
  </cellStyles>
  <dxfs count="7">
    <dxf>
      <font>
        <b/>
        <color rgb="FFFFFFFF"/>
      </font>
      <fill>
        <patternFill>
          <bgColor rgb="FF2563EB"/>
        </patternFill>
      </fill>
    </dxf>
    <dxf>
      <font>
        <b/>
        <color rgb="FFFFFFFF"/>
      </font>
      <fill>
        <patternFill>
          <bgColor rgb="FF8B5CF6"/>
        </patternFill>
      </fill>
    </dxf>
    <dxf>
      <font>
        <b/>
        <color rgb="FFFFFFFF"/>
      </font>
      <fill>
        <patternFill>
          <bgColor rgb="FF06B6D4"/>
        </patternFill>
      </fill>
    </dxf>
    <dxf>
      <font>
        <b/>
        <color rgb="FFFFFFFF"/>
      </font>
      <fill>
        <patternFill>
          <bgColor rgb="FFF97316"/>
        </patternFill>
      </fill>
    </dxf>
    <dxf>
      <font>
        <b/>
        <color rgb="FFFFFFFF"/>
      </font>
      <fill>
        <patternFill>
          <bgColor rgb="FFEC4899"/>
        </patternFill>
      </fill>
    </dxf>
    <dxf>
      <font>
        <b/>
        <color rgb="FFFFFFFF"/>
      </font>
      <fill>
        <patternFill>
          <bgColor rgb="FF6B7280"/>
        </patternFill>
      </fill>
    </dxf>
    <dxf>
      <fill>
        <patternFill>
          <bgColor rgb="FFF7FAF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ables/table1.xml><?xml version="1.0" encoding="utf-8"?>
<table xmlns="http://schemas.openxmlformats.org/spreadsheetml/2006/main" id="1" name="Daten" displayName="Daten" ref="A2:G222" totalsRowShown="0">
  <autoFilter ref="A2:G222"/>
  <tableColumns count="7">
    <tableColumn id="1" name="source_id"/>
    <tableColumn id="2" name="group_id"/>
    <tableColumn id="3" name="Zielgruppe"/>
    <tableColumn id="4" name="Suche %"/>
    <tableColumn id="5" name="Wahrnehmung %"/>
    <tableColumn id="6" name="Vertrauen Pkt."/>
    <tableColumn id="7" name="Präventionspotential Pkt."/>
  </tableColumns>
  <tableStyleInfo name="TableStyleLight9" showFirstColumn="0" showLastColumn="0" showRowStripes="1" showColumnStripes="0"/>
</table>
</file>

<file path=xl/tables/table2.xml><?xml version="1.0" encoding="utf-8"?>
<table xmlns="http://schemas.openxmlformats.org/spreadsheetml/2006/main" id="2" name="Kanaele" displayName="Kanaele" ref="A2:D46" totalsRowShown="0">
  <autoFilter ref="A2:D46"/>
  <tableColumns count="4">
    <tableColumn id="1" name="source_id"/>
    <tableColumn id="2" name="Kanal"/>
    <tableColumn id="3" name="Kategorie"/>
    <tableColumn id="4" name="parentId"/>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showGridLines="0" tabSelected="1" workbookViewId="0">
      <pane ySplit="12" topLeftCell="A13" activePane="bottomLeft" state="frozen"/>
      <selection pane="bottomLeft"/>
    </sheetView>
  </sheetViews>
  <sheetFormatPr defaultRowHeight="15" x14ac:dyDescent="0.25"/>
  <cols>
    <col min="1" max="1" width="6.7109375" customWidth="1"/>
    <col min="2" max="2" width="44.7109375" customWidth="1"/>
    <col min="3" max="3" width="29.7109375" customWidth="1"/>
    <col min="4" max="6" width="16.7109375" customWidth="1"/>
    <col min="7" max="7" width="18.7109375" customWidth="1"/>
  </cols>
  <sheetData>
    <row r="1" spans="1:7" ht="36" customHeight="1" x14ac:dyDescent="0.25">
      <c r="A1" s="1" t="s">
        <v>107</v>
      </c>
      <c r="B1" s="1"/>
      <c r="C1" s="1"/>
      <c r="D1" s="1"/>
      <c r="E1" s="1"/>
      <c r="F1" s="1"/>
      <c r="G1" s="1"/>
    </row>
    <row r="2" spans="1:7" ht="42" customHeight="1" x14ac:dyDescent="0.25">
      <c r="A2" s="2" t="s">
        <v>108</v>
      </c>
      <c r="B2" s="2"/>
      <c r="C2" s="2"/>
      <c r="D2" s="2"/>
      <c r="E2" s="2"/>
      <c r="F2" s="2"/>
      <c r="G2" s="2"/>
    </row>
    <row r="3" spans="1:7" ht="48" customHeight="1" x14ac:dyDescent="0.25">
      <c r="A3" s="3" t="s">
        <v>109</v>
      </c>
      <c r="B3" s="3"/>
      <c r="C3" s="3"/>
      <c r="D3" s="3"/>
      <c r="E3" s="3"/>
      <c r="F3" s="3"/>
      <c r="G3" s="3"/>
    </row>
    <row r="5" spans="1:7" ht="22" customHeight="1" x14ac:dyDescent="0.25">
      <c r="A5" s="4" t="s">
        <v>110</v>
      </c>
      <c r="B5" s="4"/>
      <c r="C5" s="4"/>
      <c r="D5" s="4" t="s">
        <v>111</v>
      </c>
      <c r="E5" s="4"/>
      <c r="F5" s="4"/>
      <c r="G5" s="4"/>
    </row>
    <row r="6" spans="1:7" ht="22" customHeight="1" x14ac:dyDescent="0.25">
      <c r="B6" s="5" t="s">
        <v>30</v>
      </c>
      <c r="C6" s="6" t="s">
        <v>6</v>
      </c>
      <c r="E6" s="5" t="s">
        <v>113</v>
      </c>
      <c r="F6" s="6" t="s">
        <v>18</v>
      </c>
      <c r="G6" s="6"/>
    </row>
    <row r="7" spans="1:7" ht="22" customHeight="1" x14ac:dyDescent="0.25">
      <c r="B7" s="5" t="s">
        <v>20</v>
      </c>
      <c r="C7" s="6" t="s">
        <v>11</v>
      </c>
      <c r="E7" s="5" t="s">
        <v>4</v>
      </c>
      <c r="F7" s="6" t="s">
        <v>25</v>
      </c>
      <c r="G7" s="6"/>
    </row>
    <row r="8" spans="1:7" ht="22" customHeight="1" x14ac:dyDescent="0.25">
      <c r="B8" s="5" t="s">
        <v>112</v>
      </c>
      <c r="C8" s="6"/>
      <c r="E8" s="5" t="s">
        <v>114</v>
      </c>
      <c r="F8" s="7" t="str">
        <f>SUM(Live!$J$2:$J$45)&amp;" von 44 Kanälen"</f>
        <v>44 von 44 Kanälen</v>
      </c>
      <c r="G8" s="7"/>
    </row>
    <row r="10" spans="1:7" ht="30" customHeight="1" x14ac:dyDescent="0.25">
      <c r="A10" s="2" t="s">
        <v>115</v>
      </c>
      <c r="B10" s="2"/>
      <c r="C10" s="2"/>
      <c r="D10" s="2"/>
      <c r="E10" s="2"/>
      <c r="F10" s="2"/>
      <c r="G10" s="2"/>
    </row>
    <row r="12" spans="1:7" ht="42" customHeight="1" x14ac:dyDescent="0.25">
      <c r="A12" s="8" t="s">
        <v>116</v>
      </c>
      <c r="B12" s="9" t="s">
        <v>19</v>
      </c>
      <c r="C12" s="9" t="s">
        <v>20</v>
      </c>
      <c r="D12" s="8" t="s">
        <v>117</v>
      </c>
      <c r="E12" s="8" t="s">
        <v>118</v>
      </c>
      <c r="F12" s="8" t="s">
        <v>119</v>
      </c>
      <c r="G12" s="8" t="s">
        <v>120</v>
      </c>
    </row>
    <row r="13" spans="1:7" ht="22" customHeight="1" x14ac:dyDescent="0.25">
      <c r="A13" s="10">
        <f>IFERROR(INDEX(Live!$A$2:$A$45,MATCH(1,Live!$M$2:$M$45,0)),"")</f>
        <v>1</v>
      </c>
      <c r="B13" s="11" t="str">
        <f>IFERROR(INDEX(Live!$B$2:$B$45,MATCH(1,Live!$M$2:$M$45,0)),"")</f>
        <v>Angehörige</v>
      </c>
      <c r="C13" s="12" t="str">
        <f>IFERROR(INDEX(Live!$C$2:$C$45,MATCH(1,Live!$M$2:$M$45,0)),"")</f>
        <v>Persönliches Umfeld</v>
      </c>
      <c r="D13" s="13">
        <f>IFERROR(INDEX(Live!$D$2:$D$45,MATCH(1,Live!$M$2:$M$45,0)),"")</f>
        <v>28.8</v>
      </c>
      <c r="E13" s="13">
        <f>IFERROR(INDEX(Live!$E$2:$E$45,MATCH(1,Live!$M$2:$M$45,0)),"")</f>
        <v/>
      </c>
      <c r="F13" s="14">
        <f>IFERROR(INDEX(Live!$F$2:$F$45,MATCH(1,Live!$M$2:$M$45,0)),"")</f>
        <v>79.4</v>
      </c>
      <c r="G13" s="14">
        <f>IFERROR(INDEX(Live!$G$2:$G$45,MATCH(1,Live!$M$2:$M$45,0)),"")</f>
        <v>24.4</v>
      </c>
    </row>
    <row r="14" spans="1:7" ht="22" customHeight="1" x14ac:dyDescent="0.25">
      <c r="A14" s="10">
        <f>IFERROR(INDEX(Live!$A$2:$A$45,MATCH(2,Live!$M$2:$M$45,0)),"")</f>
        <v>2</v>
      </c>
      <c r="B14" s="11" t="str">
        <f>IFERROR(INDEX(Live!$B$2:$B$45,MATCH(2,Live!$M$2:$M$45,0)),"")</f>
        <v>Apotheke / Arztpraxis</v>
      </c>
      <c r="C14" s="12" t="str">
        <f>IFERROR(INDEX(Live!$C$2:$C$45,MATCH(2,Live!$M$2:$M$45,0)),"")</f>
        <v>Institutionell</v>
      </c>
      <c r="D14" s="13">
        <f>IFERROR(INDEX(Live!$D$2:$D$45,MATCH(2,Live!$M$2:$M$45,0)),"")</f>
        <v>60.4</v>
      </c>
      <c r="E14" s="13">
        <f>IFERROR(INDEX(Live!$E$2:$E$45,MATCH(2,Live!$M$2:$M$45,0)),"")</f>
        <v/>
      </c>
      <c r="F14" s="14">
        <f>IFERROR(INDEX(Live!$F$2:$F$45,MATCH(2,Live!$M$2:$M$45,0)),"")</f>
        <v>91.7</v>
      </c>
      <c r="G14" s="14">
        <f>IFERROR(INDEX(Live!$G$2:$G$45,MATCH(2,Live!$M$2:$M$45,0)),"")</f>
        <v>56.6</v>
      </c>
    </row>
    <row r="15" spans="1:7" ht="22" customHeight="1" x14ac:dyDescent="0.25">
      <c r="A15" s="10">
        <f>IFERROR(INDEX(Live!$A$2:$A$45,MATCH(3,Live!$M$2:$M$45,0)),"")</f>
        <v>3</v>
      </c>
      <c r="B15" s="11" t="str">
        <f>IFERROR(INDEX(Live!$B$2:$B$45,MATCH(3,Live!$M$2:$M$45,0)),"")</f>
        <v>  ↳ persönlich</v>
      </c>
      <c r="C15" s="12" t="str">
        <f>IFERROR(INDEX(Live!$C$2:$C$45,MATCH(3,Live!$M$2:$M$45,0)),"")</f>
        <v>Institutionell</v>
      </c>
      <c r="D15" s="13">
        <f>IFERROR(INDEX(Live!$D$2:$D$45,MATCH(3,Live!$M$2:$M$45,0)),"")</f>
        <v>49.7</v>
      </c>
      <c r="E15" s="13">
        <f>IFERROR(INDEX(Live!$E$2:$E$45,MATCH(3,Live!$M$2:$M$45,0)),"")</f>
        <v/>
      </c>
      <c r="F15" s="14">
        <f>IFERROR(INDEX(Live!$F$2:$F$45,MATCH(3,Live!$M$2:$M$45,0)),"")</f>
        <v/>
      </c>
      <c r="G15" s="14">
        <f>IFERROR(INDEX(Live!$G$2:$G$45,MATCH(3,Live!$M$2:$M$45,0)),"")</f>
        <v/>
      </c>
    </row>
    <row r="16" spans="1:7" ht="22" customHeight="1" x14ac:dyDescent="0.25">
      <c r="A16" s="10">
        <f>IFERROR(INDEX(Live!$A$2:$A$45,MATCH(4,Live!$M$2:$M$45,0)),"")</f>
        <v>4</v>
      </c>
      <c r="B16" s="11" t="str">
        <f>IFERROR(INDEX(Live!$B$2:$B$45,MATCH(4,Live!$M$2:$M$45,0)),"")</f>
        <v>  ↳ Internet</v>
      </c>
      <c r="C16" s="12" t="str">
        <f>IFERROR(INDEX(Live!$C$2:$C$45,MATCH(4,Live!$M$2:$M$45,0)),"")</f>
        <v>Institutionell</v>
      </c>
      <c r="D16" s="13">
        <f>IFERROR(INDEX(Live!$D$2:$D$45,MATCH(4,Live!$M$2:$M$45,0)),"")</f>
        <v>21.8</v>
      </c>
      <c r="E16" s="13">
        <f>IFERROR(INDEX(Live!$E$2:$E$45,MATCH(4,Live!$M$2:$M$45,0)),"")</f>
        <v/>
      </c>
      <c r="F16" s="14">
        <f>IFERROR(INDEX(Live!$F$2:$F$45,MATCH(4,Live!$M$2:$M$45,0)),"")</f>
        <v/>
      </c>
      <c r="G16" s="14">
        <f>IFERROR(INDEX(Live!$G$2:$G$45,MATCH(4,Live!$M$2:$M$45,0)),"")</f>
        <v/>
      </c>
    </row>
    <row r="17" spans="1:7" ht="22" customHeight="1" x14ac:dyDescent="0.25">
      <c r="A17" s="10">
        <f>IFERROR(INDEX(Live!$A$2:$A$45,MATCH(5,Live!$M$2:$M$45,0)),"")</f>
        <v>5</v>
      </c>
      <c r="B17" s="11" t="str">
        <f>IFERROR(INDEX(Live!$B$2:$B$45,MATCH(5,Live!$M$2:$M$45,0)),"")</f>
        <v>Krankenkasse</v>
      </c>
      <c r="C17" s="12" t="str">
        <f>IFERROR(INDEX(Live!$C$2:$C$45,MATCH(5,Live!$M$2:$M$45,0)),"")</f>
        <v>Institutionell</v>
      </c>
      <c r="D17" s="13">
        <f>IFERROR(INDEX(Live!$D$2:$D$45,MATCH(5,Live!$M$2:$M$45,0)),"")</f>
        <v>18.0</v>
      </c>
      <c r="E17" s="13">
        <f>IFERROR(INDEX(Live!$E$2:$E$45,MATCH(5,Live!$M$2:$M$45,0)),"")</f>
        <v/>
      </c>
      <c r="F17" s="14">
        <f>IFERROR(INDEX(Live!$F$2:$F$45,MATCH(5,Live!$M$2:$M$45,0)),"")</f>
        <v>90.0</v>
      </c>
      <c r="G17" s="14">
        <f>IFERROR(INDEX(Live!$G$2:$G$45,MATCH(5,Live!$M$2:$M$45,0)),"")</f>
        <v>16.7</v>
      </c>
    </row>
    <row r="18" spans="1:7" ht="22" customHeight="1" x14ac:dyDescent="0.25">
      <c r="A18" s="10">
        <f>IFERROR(INDEX(Live!$A$2:$A$45,MATCH(6,Live!$M$2:$M$45,0)),"")</f>
        <v>6</v>
      </c>
      <c r="B18" s="11" t="str">
        <f>IFERROR(INDEX(Live!$B$2:$B$45,MATCH(6,Live!$M$2:$M$45,0)),"")</f>
        <v>  ↳ persönlich</v>
      </c>
      <c r="C18" s="12" t="str">
        <f>IFERROR(INDEX(Live!$C$2:$C$45,MATCH(6,Live!$M$2:$M$45,0)),"")</f>
        <v>Institutionell</v>
      </c>
      <c r="D18" s="13">
        <f>IFERROR(INDEX(Live!$D$2:$D$45,MATCH(6,Live!$M$2:$M$45,0)),"")</f>
        <v>9.4</v>
      </c>
      <c r="E18" s="13">
        <f>IFERROR(INDEX(Live!$E$2:$E$45,MATCH(6,Live!$M$2:$M$45,0)),"")</f>
        <v/>
      </c>
      <c r="F18" s="14">
        <f>IFERROR(INDEX(Live!$F$2:$F$45,MATCH(6,Live!$M$2:$M$45,0)),"")</f>
        <v/>
      </c>
      <c r="G18" s="14">
        <f>IFERROR(INDEX(Live!$G$2:$G$45,MATCH(6,Live!$M$2:$M$45,0)),"")</f>
        <v/>
      </c>
    </row>
    <row r="19" spans="1:7" ht="22" customHeight="1" x14ac:dyDescent="0.25">
      <c r="A19" s="10">
        <f>IFERROR(INDEX(Live!$A$2:$A$45,MATCH(7,Live!$M$2:$M$45,0)),"")</f>
        <v>7</v>
      </c>
      <c r="B19" s="11" t="str">
        <f>IFERROR(INDEX(Live!$B$2:$B$45,MATCH(7,Live!$M$2:$M$45,0)),"")</f>
        <v>  ↳ Internet</v>
      </c>
      <c r="C19" s="12" t="str">
        <f>IFERROR(INDEX(Live!$C$2:$C$45,MATCH(7,Live!$M$2:$M$45,0)),"")</f>
        <v>Institutionell</v>
      </c>
      <c r="D19" s="13">
        <f>IFERROR(INDEX(Live!$D$2:$D$45,MATCH(7,Live!$M$2:$M$45,0)),"")</f>
        <v>10.3</v>
      </c>
      <c r="E19" s="13">
        <f>IFERROR(INDEX(Live!$E$2:$E$45,MATCH(7,Live!$M$2:$M$45,0)),"")</f>
        <v/>
      </c>
      <c r="F19" s="14">
        <f>IFERROR(INDEX(Live!$F$2:$F$45,MATCH(7,Live!$M$2:$M$45,0)),"")</f>
        <v/>
      </c>
      <c r="G19" s="14">
        <f>IFERROR(INDEX(Live!$G$2:$G$45,MATCH(7,Live!$M$2:$M$45,0)),"")</f>
        <v/>
      </c>
    </row>
    <row r="20" spans="1:7" ht="22" customHeight="1" x14ac:dyDescent="0.25">
      <c r="A20" s="10">
        <f>IFERROR(INDEX(Live!$A$2:$A$45,MATCH(8,Live!$M$2:$M$45,0)),"")</f>
        <v>8</v>
      </c>
      <c r="B20" s="11" t="str">
        <f>IFERROR(INDEX(Live!$B$2:$B$45,MATCH(8,Live!$M$2:$M$45,0)),"")</f>
        <v>Beratungsstelle</v>
      </c>
      <c r="C20" s="12" t="str">
        <f>IFERROR(INDEX(Live!$C$2:$C$45,MATCH(8,Live!$M$2:$M$45,0)),"")</f>
        <v>Institutionell</v>
      </c>
      <c r="D20" s="13">
        <f>IFERROR(INDEX(Live!$D$2:$D$45,MATCH(8,Live!$M$2:$M$45,0)),"")</f>
        <v>30.1</v>
      </c>
      <c r="E20" s="13">
        <f>IFERROR(INDEX(Live!$E$2:$E$45,MATCH(8,Live!$M$2:$M$45,0)),"")</f>
        <v/>
      </c>
      <c r="F20" s="14">
        <f>IFERROR(INDEX(Live!$F$2:$F$45,MATCH(8,Live!$M$2:$M$45,0)),"")</f>
        <v>91.9</v>
      </c>
      <c r="G20" s="14">
        <f>IFERROR(INDEX(Live!$G$2:$G$45,MATCH(8,Live!$M$2:$M$45,0)),"")</f>
        <v>28.3</v>
      </c>
    </row>
    <row r="21" spans="1:7" ht="22" customHeight="1" x14ac:dyDescent="0.25">
      <c r="A21" s="10">
        <f>IFERROR(INDEX(Live!$A$2:$A$45,MATCH(9,Live!$M$2:$M$45,0)),"")</f>
        <v>9</v>
      </c>
      <c r="B21" s="11" t="str">
        <f>IFERROR(INDEX(Live!$B$2:$B$45,MATCH(9,Live!$M$2:$M$45,0)),"")</f>
        <v>  ↳ persönlich</v>
      </c>
      <c r="C21" s="12" t="str">
        <f>IFERROR(INDEX(Live!$C$2:$C$45,MATCH(9,Live!$M$2:$M$45,0)),"")</f>
        <v>Institutionell</v>
      </c>
      <c r="D21" s="13">
        <f>IFERROR(INDEX(Live!$D$2:$D$45,MATCH(9,Live!$M$2:$M$45,0)),"")</f>
        <v>19.7</v>
      </c>
      <c r="E21" s="13">
        <f>IFERROR(INDEX(Live!$E$2:$E$45,MATCH(9,Live!$M$2:$M$45,0)),"")</f>
        <v/>
      </c>
      <c r="F21" s="14">
        <f>IFERROR(INDEX(Live!$F$2:$F$45,MATCH(9,Live!$M$2:$M$45,0)),"")</f>
        <v/>
      </c>
      <c r="G21" s="14">
        <f>IFERROR(INDEX(Live!$G$2:$G$45,MATCH(9,Live!$M$2:$M$45,0)),"")</f>
        <v/>
      </c>
    </row>
    <row r="22" spans="1:7" ht="22" customHeight="1" x14ac:dyDescent="0.25">
      <c r="A22" s="10">
        <f>IFERROR(INDEX(Live!$A$2:$A$45,MATCH(10,Live!$M$2:$M$45,0)),"")</f>
        <v>10</v>
      </c>
      <c r="B22" s="11" t="str">
        <f>IFERROR(INDEX(Live!$B$2:$B$45,MATCH(10,Live!$M$2:$M$45,0)),"")</f>
        <v>  ↳ Internet</v>
      </c>
      <c r="C22" s="12" t="str">
        <f>IFERROR(INDEX(Live!$C$2:$C$45,MATCH(10,Live!$M$2:$M$45,0)),"")</f>
        <v>Institutionell</v>
      </c>
      <c r="D22" s="13">
        <f>IFERROR(INDEX(Live!$D$2:$D$45,MATCH(10,Live!$M$2:$M$45,0)),"")</f>
        <v>15.2</v>
      </c>
      <c r="E22" s="13">
        <f>IFERROR(INDEX(Live!$E$2:$E$45,MATCH(10,Live!$M$2:$M$45,0)),"")</f>
        <v/>
      </c>
      <c r="F22" s="14">
        <f>IFERROR(INDEX(Live!$F$2:$F$45,MATCH(10,Live!$M$2:$M$45,0)),"")</f>
        <v/>
      </c>
      <c r="G22" s="14">
        <f>IFERROR(INDEX(Live!$G$2:$G$45,MATCH(10,Live!$M$2:$M$45,0)),"")</f>
        <v/>
      </c>
    </row>
    <row r="23" spans="1:7" ht="22" customHeight="1" x14ac:dyDescent="0.25">
      <c r="A23" s="10">
        <f>IFERROR(INDEX(Live!$A$2:$A$45,MATCH(11,Live!$M$2:$M$45,0)),"")</f>
        <v>11</v>
      </c>
      <c r="B23" s="11" t="str">
        <f>IFERROR(INDEX(Live!$B$2:$B$45,MATCH(11,Live!$M$2:$M$45,0)),"")</f>
        <v>Behörde / Kommune</v>
      </c>
      <c r="C23" s="12" t="str">
        <f>IFERROR(INDEX(Live!$C$2:$C$45,MATCH(11,Live!$M$2:$M$45,0)),"")</f>
        <v>Institutionell</v>
      </c>
      <c r="D23" s="13">
        <f>IFERROR(INDEX(Live!$D$2:$D$45,MATCH(11,Live!$M$2:$M$45,0)),"")</f>
        <v>4.3</v>
      </c>
      <c r="E23" s="13">
        <f>IFERROR(INDEX(Live!$E$2:$E$45,MATCH(11,Live!$M$2:$M$45,0)),"")</f>
        <v/>
      </c>
      <c r="F23" s="14">
        <f>IFERROR(INDEX(Live!$F$2:$F$45,MATCH(11,Live!$M$2:$M$45,0)),"")</f>
        <v>80.1</v>
      </c>
      <c r="G23" s="14">
        <f>IFERROR(INDEX(Live!$G$2:$G$45,MATCH(11,Live!$M$2:$M$45,0)),"")</f>
        <v>3.6</v>
      </c>
    </row>
    <row r="24" spans="1:7" ht="22" customHeight="1" x14ac:dyDescent="0.25">
      <c r="A24" s="10">
        <f>IFERROR(INDEX(Live!$A$2:$A$45,MATCH(12,Live!$M$2:$M$45,0)),"")</f>
        <v>12</v>
      </c>
      <c r="B24" s="11" t="str">
        <f>IFERROR(INDEX(Live!$B$2:$B$45,MATCH(12,Live!$M$2:$M$45,0)),"")</f>
        <v>  ↳ persönlich</v>
      </c>
      <c r="C24" s="12" t="str">
        <f>IFERROR(INDEX(Live!$C$2:$C$45,MATCH(12,Live!$M$2:$M$45,0)),"")</f>
        <v>Institutionell</v>
      </c>
      <c r="D24" s="13">
        <f>IFERROR(INDEX(Live!$D$2:$D$45,MATCH(12,Live!$M$2:$M$45,0)),"")</f>
        <v>1.9</v>
      </c>
      <c r="E24" s="13">
        <f>IFERROR(INDEX(Live!$E$2:$E$45,MATCH(12,Live!$M$2:$M$45,0)),"")</f>
        <v/>
      </c>
      <c r="F24" s="14">
        <f>IFERROR(INDEX(Live!$F$2:$F$45,MATCH(12,Live!$M$2:$M$45,0)),"")</f>
        <v/>
      </c>
      <c r="G24" s="14">
        <f>IFERROR(INDEX(Live!$G$2:$G$45,MATCH(12,Live!$M$2:$M$45,0)),"")</f>
        <v/>
      </c>
    </row>
    <row r="25" spans="1:7" ht="22" customHeight="1" x14ac:dyDescent="0.25">
      <c r="A25" s="10">
        <f>IFERROR(INDEX(Live!$A$2:$A$45,MATCH(13,Live!$M$2:$M$45,0)),"")</f>
        <v>13</v>
      </c>
      <c r="B25" s="11" t="str">
        <f>IFERROR(INDEX(Live!$B$2:$B$45,MATCH(13,Live!$M$2:$M$45,0)),"")</f>
        <v>  ↳ Internet</v>
      </c>
      <c r="C25" s="12" t="str">
        <f>IFERROR(INDEX(Live!$C$2:$C$45,MATCH(13,Live!$M$2:$M$45,0)),"")</f>
        <v>Institutionell</v>
      </c>
      <c r="D25" s="13">
        <f>IFERROR(INDEX(Live!$D$2:$D$45,MATCH(13,Live!$M$2:$M$45,0)),"")</f>
        <v>2.3</v>
      </c>
      <c r="E25" s="13">
        <f>IFERROR(INDEX(Live!$E$2:$E$45,MATCH(13,Live!$M$2:$M$45,0)),"")</f>
        <v/>
      </c>
      <c r="F25" s="14">
        <f>IFERROR(INDEX(Live!$F$2:$F$45,MATCH(13,Live!$M$2:$M$45,0)),"")</f>
        <v/>
      </c>
      <c r="G25" s="14">
        <f>IFERROR(INDEX(Live!$G$2:$G$45,MATCH(13,Live!$M$2:$M$45,0)),"")</f>
        <v/>
      </c>
    </row>
    <row r="26" spans="1:7" ht="22" customHeight="1" x14ac:dyDescent="0.25">
      <c r="A26" s="10">
        <f>IFERROR(INDEX(Live!$A$2:$A$45,MATCH(14,Live!$M$2:$M$45,0)),"")</f>
        <v>14</v>
      </c>
      <c r="B26" s="11" t="str">
        <f>IFERROR(INDEX(Live!$B$2:$B$45,MATCH(14,Live!$M$2:$M$45,0)),"")</f>
        <v>Nachrichtenseiten</v>
      </c>
      <c r="C26" s="12" t="str">
        <f>IFERROR(INDEX(Live!$C$2:$C$45,MATCH(14,Live!$M$2:$M$45,0)),"")</f>
        <v>Internet</v>
      </c>
      <c r="D26" s="13">
        <f>IFERROR(INDEX(Live!$D$2:$D$45,MATCH(14,Live!$M$2:$M$45,0)),"")</f>
        <v>26.7</v>
      </c>
      <c r="E26" s="13">
        <f>IFERROR(INDEX(Live!$E$2:$E$45,MATCH(14,Live!$M$2:$M$45,0)),"")</f>
        <v/>
      </c>
      <c r="F26" s="14">
        <f>IFERROR(INDEX(Live!$F$2:$F$45,MATCH(14,Live!$M$2:$M$45,0)),"")</f>
        <v>66.3</v>
      </c>
      <c r="G26" s="14">
        <f>IFERROR(INDEX(Live!$G$2:$G$45,MATCH(14,Live!$M$2:$M$45,0)),"")</f>
        <v>20.0</v>
      </c>
    </row>
    <row r="27" spans="1:7" ht="22" customHeight="1" x14ac:dyDescent="0.25">
      <c r="A27" s="10">
        <f>IFERROR(INDEX(Live!$A$2:$A$45,MATCH(15,Live!$M$2:$M$45,0)),"")</f>
        <v>15</v>
      </c>
      <c r="B27" s="11" t="str">
        <f>IFERROR(INDEX(Live!$B$2:$B$45,MATCH(15,Live!$M$2:$M$45,0)),"")</f>
        <v>Med. Seiten / Gesundheitsportale</v>
      </c>
      <c r="C27" s="12" t="str">
        <f>IFERROR(INDEX(Live!$C$2:$C$45,MATCH(15,Live!$M$2:$M$45,0)),"")</f>
        <v>Internet</v>
      </c>
      <c r="D27" s="13">
        <f>IFERROR(INDEX(Live!$D$2:$D$45,MATCH(15,Live!$M$2:$M$45,0)),"")</f>
        <v>51.1</v>
      </c>
      <c r="E27" s="13">
        <f>IFERROR(INDEX(Live!$E$2:$E$45,MATCH(15,Live!$M$2:$M$45,0)),"")</f>
        <v/>
      </c>
      <c r="F27" s="14">
        <f>IFERROR(INDEX(Live!$F$2:$F$45,MATCH(15,Live!$M$2:$M$45,0)),"")</f>
        <v>72.2</v>
      </c>
      <c r="G27" s="14">
        <f>IFERROR(INDEX(Live!$G$2:$G$45,MATCH(15,Live!$M$2:$M$45,0)),"")</f>
        <v>40.5</v>
      </c>
    </row>
    <row r="28" spans="1:7" ht="22" customHeight="1" x14ac:dyDescent="0.25">
      <c r="A28" s="10">
        <f>IFERROR(INDEX(Live!$A$2:$A$45,MATCH(16,Live!$M$2:$M$45,0)),"")</f>
        <v>16</v>
      </c>
      <c r="B28" s="11" t="str">
        <f>IFERROR(INDEX(Live!$B$2:$B$45,MATCH(16,Live!$M$2:$M$45,0)),"")</f>
        <v>Foren</v>
      </c>
      <c r="C28" s="12" t="str">
        <f>IFERROR(INDEX(Live!$C$2:$C$45,MATCH(16,Live!$M$2:$M$45,0)),"")</f>
        <v>Internet</v>
      </c>
      <c r="D28" s="13">
        <f>IFERROR(INDEX(Live!$D$2:$D$45,MATCH(16,Live!$M$2:$M$45,0)),"")</f>
        <v>23.3</v>
      </c>
      <c r="E28" s="13">
        <f>IFERROR(INDEX(Live!$E$2:$E$45,MATCH(16,Live!$M$2:$M$45,0)),"")</f>
        <v/>
      </c>
      <c r="F28" s="14">
        <f>IFERROR(INDEX(Live!$F$2:$F$45,MATCH(16,Live!$M$2:$M$45,0)),"")</f>
        <v>59.3</v>
      </c>
      <c r="G28" s="14">
        <f>IFERROR(INDEX(Live!$G$2:$G$45,MATCH(16,Live!$M$2:$M$45,0)),"")</f>
        <v>16.2</v>
      </c>
    </row>
    <row r="29" spans="1:7" ht="22" customHeight="1" x14ac:dyDescent="0.25">
      <c r="A29" s="10">
        <f>IFERROR(INDEX(Live!$A$2:$A$45,MATCH(17,Live!$M$2:$M$45,0)),"")</f>
        <v>17</v>
      </c>
      <c r="B29" s="11" t="str">
        <f>IFERROR(INDEX(Live!$B$2:$B$45,MATCH(17,Live!$M$2:$M$45,0)),"")</f>
        <v>Suchmaschinen</v>
      </c>
      <c r="C29" s="12" t="str">
        <f>IFERROR(INDEX(Live!$C$2:$C$45,MATCH(17,Live!$M$2:$M$45,0)),"")</f>
        <v>Internet</v>
      </c>
      <c r="D29" s="13">
        <f>IFERROR(INDEX(Live!$D$2:$D$45,MATCH(17,Live!$M$2:$M$45,0)),"")</f>
        <v>51.2</v>
      </c>
      <c r="E29" s="13">
        <f>IFERROR(INDEX(Live!$E$2:$E$45,MATCH(17,Live!$M$2:$M$45,0)),"")</f>
        <v/>
      </c>
      <c r="F29" s="14">
        <f>IFERROR(INDEX(Live!$F$2:$F$45,MATCH(17,Live!$M$2:$M$45,0)),"")</f>
        <v>61.2</v>
      </c>
      <c r="G29" s="14">
        <f>IFERROR(INDEX(Live!$G$2:$G$45,MATCH(17,Live!$M$2:$M$45,0)),"")</f>
        <v>36.3</v>
      </c>
    </row>
    <row r="30" spans="1:7" ht="22" customHeight="1" x14ac:dyDescent="0.25">
      <c r="A30" s="10">
        <f>IFERROR(INDEX(Live!$A$2:$A$45,MATCH(18,Live!$M$2:$M$45,0)),"")</f>
        <v>18</v>
      </c>
      <c r="B30" s="11" t="str">
        <f>IFERROR(INDEX(Live!$B$2:$B$45,MATCH(18,Live!$M$2:$M$45,0)),"")</f>
        <v>Videosammlungen</v>
      </c>
      <c r="C30" s="12" t="str">
        <f>IFERROR(INDEX(Live!$C$2:$C$45,MATCH(18,Live!$M$2:$M$45,0)),"")</f>
        <v>Internet</v>
      </c>
      <c r="D30" s="13">
        <f>IFERROR(INDEX(Live!$D$2:$D$45,MATCH(18,Live!$M$2:$M$45,0)),"")</f>
        <v>15.1</v>
      </c>
      <c r="E30" s="13">
        <f>IFERROR(INDEX(Live!$E$2:$E$45,MATCH(18,Live!$M$2:$M$45,0)),"")</f>
        <v/>
      </c>
      <c r="F30" s="14">
        <f>IFERROR(INDEX(Live!$F$2:$F$45,MATCH(18,Live!$M$2:$M$45,0)),"")</f>
        <v>59.4</v>
      </c>
      <c r="G30" s="14">
        <f>IFERROR(INDEX(Live!$G$2:$G$45,MATCH(18,Live!$M$2:$M$45,0)),"")</f>
        <v>10.5</v>
      </c>
    </row>
    <row r="31" spans="1:7" ht="22" customHeight="1" x14ac:dyDescent="0.25">
      <c r="A31" s="10">
        <f>IFERROR(INDEX(Live!$A$2:$A$45,MATCH(19,Live!$M$2:$M$45,0)),"")</f>
        <v>19</v>
      </c>
      <c r="B31" s="11" t="str">
        <f>IFERROR(INDEX(Live!$B$2:$B$45,MATCH(19,Live!$M$2:$M$45,0)),"")</f>
        <v>Podcasts</v>
      </c>
      <c r="C31" s="12" t="str">
        <f>IFERROR(INDEX(Live!$C$2:$C$45,MATCH(19,Live!$M$2:$M$45,0)),"")</f>
        <v>Internet</v>
      </c>
      <c r="D31" s="13">
        <f>IFERROR(INDEX(Live!$D$2:$D$45,MATCH(19,Live!$M$2:$M$45,0)),"")</f>
        <v>7.3</v>
      </c>
      <c r="E31" s="13">
        <f>IFERROR(INDEX(Live!$E$2:$E$45,MATCH(19,Live!$M$2:$M$45,0)),"")</f>
        <v/>
      </c>
      <c r="F31" s="14">
        <f>IFERROR(INDEX(Live!$F$2:$F$45,MATCH(19,Live!$M$2:$M$45,0)),"")</f>
        <v>61.7</v>
      </c>
      <c r="G31" s="14">
        <f>IFERROR(INDEX(Live!$G$2:$G$45,MATCH(19,Live!$M$2:$M$45,0)),"")</f>
        <v>5.2</v>
      </c>
    </row>
    <row r="32" spans="1:7" ht="22" customHeight="1" x14ac:dyDescent="0.25">
      <c r="A32" s="10">
        <f>IFERROR(INDEX(Live!$A$2:$A$45,MATCH(20,Live!$M$2:$M$45,0)),"")</f>
        <v>20</v>
      </c>
      <c r="B32" s="11" t="str">
        <f>IFERROR(INDEX(Live!$B$2:$B$45,MATCH(20,Live!$M$2:$M$45,0)),"")</f>
        <v>Influencer:innen</v>
      </c>
      <c r="C32" s="12" t="str">
        <f>IFERROR(INDEX(Live!$C$2:$C$45,MATCH(20,Live!$M$2:$M$45,0)),"")</f>
        <v>Internet</v>
      </c>
      <c r="D32" s="13">
        <f>IFERROR(INDEX(Live!$D$2:$D$45,MATCH(20,Live!$M$2:$M$45,0)),"")</f>
        <v>2.7</v>
      </c>
      <c r="E32" s="13">
        <f>IFERROR(INDEX(Live!$E$2:$E$45,MATCH(20,Live!$M$2:$M$45,0)),"")</f>
        <v/>
      </c>
      <c r="F32" s="14">
        <f>IFERROR(INDEX(Live!$F$2:$F$45,MATCH(20,Live!$M$2:$M$45,0)),"")</f>
        <v>49.0</v>
      </c>
      <c r="G32" s="14">
        <f>IFERROR(INDEX(Live!$G$2:$G$45,MATCH(20,Live!$M$2:$M$45,0)),"")</f>
        <v>1.7</v>
      </c>
    </row>
    <row r="33" spans="1:7" ht="22" customHeight="1" x14ac:dyDescent="0.25">
      <c r="A33" s="10">
        <f>IFERROR(INDEX(Live!$A$2:$A$45,MATCH(21,Live!$M$2:$M$45,0)),"")</f>
        <v>21</v>
      </c>
      <c r="B33" s="11" t="str">
        <f>IFERROR(INDEX(Live!$B$2:$B$45,MATCH(21,Live!$M$2:$M$45,0)),"")</f>
        <v>Soziale Medien</v>
      </c>
      <c r="C33" s="12" t="str">
        <f>IFERROR(INDEX(Live!$C$2:$C$45,MATCH(21,Live!$M$2:$M$45,0)),"")</f>
        <v>Soziale Medien</v>
      </c>
      <c r="D33" s="13">
        <f>IFERROR(INDEX(Live!$D$2:$D$45,MATCH(21,Live!$M$2:$M$45,0)),"")</f>
        <v>7.6</v>
      </c>
      <c r="E33" s="13">
        <f>IFERROR(INDEX(Live!$E$2:$E$45,MATCH(21,Live!$M$2:$M$45,0)),"")</f>
        <v/>
      </c>
      <c r="F33" s="14">
        <f>IFERROR(INDEX(Live!$F$2:$F$45,MATCH(21,Live!$M$2:$M$45,0)),"")</f>
        <v/>
      </c>
      <c r="G33" s="14">
        <f>IFERROR(INDEX(Live!$G$2:$G$45,MATCH(21,Live!$M$2:$M$45,0)),"")</f>
        <v/>
      </c>
    </row>
    <row r="34" spans="1:7" ht="22" customHeight="1" x14ac:dyDescent="0.25">
      <c r="A34" s="10">
        <f>IFERROR(INDEX(Live!$A$2:$A$45,MATCH(22,Live!$M$2:$M$45,0)),"")</f>
        <v>22</v>
      </c>
      <c r="B34" s="11" t="str">
        <f>IFERROR(INDEX(Live!$B$2:$B$45,MATCH(22,Live!$M$2:$M$45,0)),"")</f>
        <v>  ↳ Posts öffentl. Einrichtungen</v>
      </c>
      <c r="C34" s="12" t="str">
        <f>IFERROR(INDEX(Live!$C$2:$C$45,MATCH(22,Live!$M$2:$M$45,0)),"")</f>
        <v>Soziale Medien</v>
      </c>
      <c r="D34" s="13">
        <f>IFERROR(INDEX(Live!$D$2:$D$45,MATCH(22,Live!$M$2:$M$45,0)),"")</f>
        <v>5.3</v>
      </c>
      <c r="E34" s="13">
        <f>IFERROR(INDEX(Live!$E$2:$E$45,MATCH(22,Live!$M$2:$M$45,0)),"")</f>
        <v/>
      </c>
      <c r="F34" s="14">
        <f>IFERROR(INDEX(Live!$F$2:$F$45,MATCH(22,Live!$M$2:$M$45,0)),"")</f>
        <v>65.6</v>
      </c>
      <c r="G34" s="14">
        <f>IFERROR(INDEX(Live!$G$2:$G$45,MATCH(22,Live!$M$2:$M$45,0)),"")</f>
        <v>3.9</v>
      </c>
    </row>
    <row r="35" spans="1:7" ht="22" customHeight="1" x14ac:dyDescent="0.25">
      <c r="A35" s="10">
        <f>IFERROR(INDEX(Live!$A$2:$A$45,MATCH(23,Live!$M$2:$M$45,0)),"")</f>
        <v>23</v>
      </c>
      <c r="B35" s="11" t="str">
        <f>IFERROR(INDEX(Live!$B$2:$B$45,MATCH(23,Live!$M$2:$M$45,0)),"")</f>
        <v>  ↳ Posts Privatpersonen</v>
      </c>
      <c r="C35" s="12" t="str">
        <f>IFERROR(INDEX(Live!$C$2:$C$45,MATCH(23,Live!$M$2:$M$45,0)),"")</f>
        <v>Soziale Medien</v>
      </c>
      <c r="D35" s="13">
        <f>IFERROR(INDEX(Live!$D$2:$D$45,MATCH(23,Live!$M$2:$M$45,0)),"")</f>
        <v>4.7</v>
      </c>
      <c r="E35" s="13">
        <f>IFERROR(INDEX(Live!$E$2:$E$45,MATCH(23,Live!$M$2:$M$45,0)),"")</f>
        <v/>
      </c>
      <c r="F35" s="14">
        <f>IFERROR(INDEX(Live!$F$2:$F$45,MATCH(23,Live!$M$2:$M$45,0)),"")</f>
        <v>54.6</v>
      </c>
      <c r="G35" s="14">
        <f>IFERROR(INDEX(Live!$G$2:$G$45,MATCH(23,Live!$M$2:$M$45,0)),"")</f>
        <v>3.1</v>
      </c>
    </row>
    <row r="36" spans="1:7" ht="22" customHeight="1" x14ac:dyDescent="0.25">
      <c r="A36" s="10">
        <f>IFERROR(INDEX(Live!$A$2:$A$45,MATCH(24,Live!$M$2:$M$45,0)),"")</f>
        <v>24</v>
      </c>
      <c r="B36" s="11" t="str">
        <f>IFERROR(INDEX(Live!$B$2:$B$45,MATCH(24,Live!$M$2:$M$45,0)),"")</f>
        <v>Radio (Info- / Diskussionssendungen)</v>
      </c>
      <c r="C36" s="12" t="str">
        <f>IFERROR(INDEX(Live!$C$2:$C$45,MATCH(24,Live!$M$2:$M$45,0)),"")</f>
        <v>Traditionelle Medien</v>
      </c>
      <c r="D36" s="13">
        <f>IFERROR(INDEX(Live!$D$2:$D$45,MATCH(24,Live!$M$2:$M$45,0)),"")</f>
        <v>8.1</v>
      </c>
      <c r="E36" s="13">
        <f>IFERROR(INDEX(Live!$E$2:$E$45,MATCH(24,Live!$M$2:$M$45,0)),"")</f>
        <v/>
      </c>
      <c r="F36" s="14">
        <f>IFERROR(INDEX(Live!$F$2:$F$45,MATCH(24,Live!$M$2:$M$45,0)),"")</f>
        <v>76.2</v>
      </c>
      <c r="G36" s="14">
        <f>IFERROR(INDEX(Live!$G$2:$G$45,MATCH(24,Live!$M$2:$M$45,0)),"")</f>
        <v>6.7</v>
      </c>
    </row>
    <row r="37" spans="1:7" ht="22" customHeight="1" x14ac:dyDescent="0.25">
      <c r="A37" s="10">
        <f>IFERROR(INDEX(Live!$A$2:$A$45,MATCH(25,Live!$M$2:$M$45,0)),"")</f>
        <v>25</v>
      </c>
      <c r="B37" s="11" t="str">
        <f>IFERROR(INDEX(Live!$B$2:$B$45,MATCH(25,Live!$M$2:$M$45,0)),"")</f>
        <v>Fernsehen (Info- / Diskussionssendungen)</v>
      </c>
      <c r="C37" s="12" t="str">
        <f>IFERROR(INDEX(Live!$C$2:$C$45,MATCH(25,Live!$M$2:$M$45,0)),"")</f>
        <v>Traditionelle Medien</v>
      </c>
      <c r="D37" s="13">
        <f>IFERROR(INDEX(Live!$D$2:$D$45,MATCH(25,Live!$M$2:$M$45,0)),"")</f>
        <v>19.8</v>
      </c>
      <c r="E37" s="13">
        <f>IFERROR(INDEX(Live!$E$2:$E$45,MATCH(25,Live!$M$2:$M$45,0)),"")</f>
        <v/>
      </c>
      <c r="F37" s="14">
        <f>IFERROR(INDEX(Live!$F$2:$F$45,MATCH(25,Live!$M$2:$M$45,0)),"")</f>
        <v>74.3</v>
      </c>
      <c r="G37" s="14">
        <f>IFERROR(INDEX(Live!$G$2:$G$45,MATCH(25,Live!$M$2:$M$45,0)),"")</f>
        <v>16.0</v>
      </c>
    </row>
    <row r="38" spans="1:7" ht="22" customHeight="1" x14ac:dyDescent="0.25">
      <c r="A38" s="10">
        <f>IFERROR(INDEX(Live!$A$2:$A$45,MATCH(26,Live!$M$2:$M$45,0)),"")</f>
        <v>26</v>
      </c>
      <c r="B38" s="11" t="str">
        <f>IFERROR(INDEX(Live!$B$2:$B$45,MATCH(26,Live!$M$2:$M$45,0)),"")</f>
        <v>Zeitung, gedruckt</v>
      </c>
      <c r="C38" s="12" t="str">
        <f>IFERROR(INDEX(Live!$C$2:$C$45,MATCH(26,Live!$M$2:$M$45,0)),"")</f>
        <v>Traditionelle Medien</v>
      </c>
      <c r="D38" s="13">
        <f>IFERROR(INDEX(Live!$D$2:$D$45,MATCH(26,Live!$M$2:$M$45,0)),"")</f>
        <v>9.2</v>
      </c>
      <c r="E38" s="13">
        <f>IFERROR(INDEX(Live!$E$2:$E$45,MATCH(26,Live!$M$2:$M$45,0)),"")</f>
        <v/>
      </c>
      <c r="F38" s="14">
        <f>IFERROR(INDEX(Live!$F$2:$F$45,MATCH(26,Live!$M$2:$M$45,0)),"")</f>
        <v>72.4</v>
      </c>
      <c r="G38" s="14">
        <f>IFERROR(INDEX(Live!$G$2:$G$45,MATCH(26,Live!$M$2:$M$45,0)),"")</f>
        <v>7.3</v>
      </c>
    </row>
    <row r="39" spans="1:7" ht="22" customHeight="1" x14ac:dyDescent="0.25">
      <c r="A39" s="10">
        <f>IFERROR(INDEX(Live!$A$2:$A$45,MATCH(27,Live!$M$2:$M$45,0)),"")</f>
        <v>27</v>
      </c>
      <c r="B39" s="11" t="str">
        <f>IFERROR(INDEX(Live!$B$2:$B$45,MATCH(27,Live!$M$2:$M$45,0)),"")</f>
        <v>Fachzeitschrift</v>
      </c>
      <c r="C39" s="12" t="str">
        <f>IFERROR(INDEX(Live!$C$2:$C$45,MATCH(27,Live!$M$2:$M$45,0)),"")</f>
        <v>Traditionelle Medien</v>
      </c>
      <c r="D39" s="13">
        <f>IFERROR(INDEX(Live!$D$2:$D$45,MATCH(27,Live!$M$2:$M$45,0)),"")</f>
        <v>13.0</v>
      </c>
      <c r="E39" s="13">
        <f>IFERROR(INDEX(Live!$E$2:$E$45,MATCH(27,Live!$M$2:$M$45,0)),"")</f>
        <v/>
      </c>
      <c r="F39" s="14">
        <f>IFERROR(INDEX(Live!$F$2:$F$45,MATCH(27,Live!$M$2:$M$45,0)),"")</f>
        <v>84.7</v>
      </c>
      <c r="G39" s="14">
        <f>IFERROR(INDEX(Live!$G$2:$G$45,MATCH(27,Live!$M$2:$M$45,0)),"")</f>
        <v>11.5</v>
      </c>
    </row>
    <row r="40" spans="1:7" ht="22" customHeight="1" x14ac:dyDescent="0.25">
      <c r="A40" s="10">
        <f>IFERROR(INDEX(Live!$A$2:$A$45,MATCH(28,Live!$M$2:$M$45,0)),"")</f>
        <v>28</v>
      </c>
      <c r="B40" s="11" t="str">
        <f>IFERROR(INDEX(Live!$B$2:$B$45,MATCH(28,Live!$M$2:$M$45,0)),"")</f>
        <v>Anzeigenblatt (kostenlos)</v>
      </c>
      <c r="C40" s="12" t="str">
        <f>IFERROR(INDEX(Live!$C$2:$C$45,MATCH(28,Live!$M$2:$M$45,0)),"")</f>
        <v>Traditionelle Medien</v>
      </c>
      <c r="D40" s="13">
        <f>IFERROR(INDEX(Live!$D$2:$D$45,MATCH(28,Live!$M$2:$M$45,0)),"")</f>
        <v>2.9</v>
      </c>
      <c r="E40" s="13">
        <f>IFERROR(INDEX(Live!$E$2:$E$45,MATCH(28,Live!$M$2:$M$45,0)),"")</f>
        <v/>
      </c>
      <c r="F40" s="14">
        <f>IFERROR(INDEX(Live!$F$2:$F$45,MATCH(28,Live!$M$2:$M$45,0)),"")</f>
        <v>62.7</v>
      </c>
      <c r="G40" s="14">
        <f>IFERROR(INDEX(Live!$G$2:$G$45,MATCH(28,Live!$M$2:$M$45,0)),"")</f>
        <v>2.1</v>
      </c>
    </row>
    <row r="41" spans="1:7" ht="22" customHeight="1" x14ac:dyDescent="0.25">
      <c r="A41" s="10">
        <f>IFERROR(INDEX(Live!$A$2:$A$45,MATCH(29,Live!$M$2:$M$45,0)),"")</f>
        <v>29</v>
      </c>
      <c r="B41" s="11" t="str">
        <f>IFERROR(INDEX(Live!$B$2:$B$45,MATCH(29,Live!$M$2:$M$45,0)),"")</f>
        <v>Apothekenumschau (kostenlos)</v>
      </c>
      <c r="C41" s="12" t="str">
        <f>IFERROR(INDEX(Live!$C$2:$C$45,MATCH(29,Live!$M$2:$M$45,0)),"")</f>
        <v>Print / Physisch</v>
      </c>
      <c r="D41" s="13">
        <f>IFERROR(INDEX(Live!$D$2:$D$45,MATCH(29,Live!$M$2:$M$45,0)),"")</f>
        <v>12.4</v>
      </c>
      <c r="E41" s="13">
        <f>IFERROR(INDEX(Live!$E$2:$E$45,MATCH(29,Live!$M$2:$M$45,0)),"")</f>
        <v/>
      </c>
      <c r="F41" s="14">
        <f>IFERROR(INDEX(Live!$F$2:$F$45,MATCH(29,Live!$M$2:$M$45,0)),"")</f>
        <v>80.0</v>
      </c>
      <c r="G41" s="14">
        <f>IFERROR(INDEX(Live!$G$2:$G$45,MATCH(29,Live!$M$2:$M$45,0)),"")</f>
        <v>10.5</v>
      </c>
    </row>
    <row r="42" spans="1:7" ht="22" customHeight="1" x14ac:dyDescent="0.25">
      <c r="A42" s="10">
        <f>IFERROR(INDEX(Live!$A$2:$A$45,MATCH(30,Live!$M$2:$M$45,0)),"")</f>
        <v>30</v>
      </c>
      <c r="B42" s="11" t="str">
        <f>IFERROR(INDEX(Live!$B$2:$B$45,MATCH(30,Live!$M$2:$M$45,0)),"")</f>
        <v>Bibliothek</v>
      </c>
      <c r="C42" s="12" t="str">
        <f>IFERROR(INDEX(Live!$C$2:$C$45,MATCH(30,Live!$M$2:$M$45,0)),"")</f>
        <v>Persönliches Umfeld</v>
      </c>
      <c r="D42" s="13">
        <f>IFERROR(INDEX(Live!$D$2:$D$45,MATCH(30,Live!$M$2:$M$45,0)),"")</f>
        <v>6.5</v>
      </c>
      <c r="E42" s="13">
        <f>IFERROR(INDEX(Live!$E$2:$E$45,MATCH(30,Live!$M$2:$M$45,0)),"")</f>
        <v/>
      </c>
      <c r="F42" s="14">
        <f>IFERROR(INDEX(Live!$F$2:$F$45,MATCH(30,Live!$M$2:$M$45,0)),"")</f>
        <v>82.7</v>
      </c>
      <c r="G42" s="14">
        <f>IFERROR(INDEX(Live!$G$2:$G$45,MATCH(30,Live!$M$2:$M$45,0)),"")</f>
        <v>5.7</v>
      </c>
    </row>
    <row r="43" spans="1:7" ht="22" customHeight="1" x14ac:dyDescent="0.25">
      <c r="A43" s="10">
        <f>IFERROR(INDEX(Live!$A$2:$A$45,MATCH(31,Live!$M$2:$M$45,0)),"")</f>
        <v>31</v>
      </c>
      <c r="B43" s="11" t="str">
        <f>IFERROR(INDEX(Live!$B$2:$B$45,MATCH(31,Live!$M$2:$M$45,0)),"")</f>
        <v>  ↳ persönlich</v>
      </c>
      <c r="C43" s="12" t="str">
        <f>IFERROR(INDEX(Live!$C$2:$C$45,MATCH(31,Live!$M$2:$M$45,0)),"")</f>
        <v>Persönliches Umfeld</v>
      </c>
      <c r="D43" s="13">
        <f>IFERROR(INDEX(Live!$D$2:$D$45,MATCH(31,Live!$M$2:$M$45,0)),"")</f>
        <v>3.6</v>
      </c>
      <c r="E43" s="13">
        <f>IFERROR(INDEX(Live!$E$2:$E$45,MATCH(31,Live!$M$2:$M$45,0)),"")</f>
        <v/>
      </c>
      <c r="F43" s="14">
        <f>IFERROR(INDEX(Live!$F$2:$F$45,MATCH(31,Live!$M$2:$M$45,0)),"")</f>
        <v/>
      </c>
      <c r="G43" s="14">
        <f>IFERROR(INDEX(Live!$G$2:$G$45,MATCH(31,Live!$M$2:$M$45,0)),"")</f>
        <v/>
      </c>
    </row>
    <row r="44" spans="1:7" ht="22" customHeight="1" x14ac:dyDescent="0.25">
      <c r="A44" s="10">
        <f>IFERROR(INDEX(Live!$A$2:$A$45,MATCH(32,Live!$M$2:$M$45,0)),"")</f>
        <v>32</v>
      </c>
      <c r="B44" s="11" t="str">
        <f>IFERROR(INDEX(Live!$B$2:$B$45,MATCH(32,Live!$M$2:$M$45,0)),"")</f>
        <v>  ↳ Internet</v>
      </c>
      <c r="C44" s="12" t="str">
        <f>IFERROR(INDEX(Live!$C$2:$C$45,MATCH(32,Live!$M$2:$M$45,0)),"")</f>
        <v>Persönliches Umfeld</v>
      </c>
      <c r="D44" s="13">
        <f>IFERROR(INDEX(Live!$D$2:$D$45,MATCH(32,Live!$M$2:$M$45,0)),"")</f>
        <v>4.2</v>
      </c>
      <c r="E44" s="13">
        <f>IFERROR(INDEX(Live!$E$2:$E$45,MATCH(32,Live!$M$2:$M$45,0)),"")</f>
        <v/>
      </c>
      <c r="F44" s="14">
        <f>IFERROR(INDEX(Live!$F$2:$F$45,MATCH(32,Live!$M$2:$M$45,0)),"")</f>
        <v/>
      </c>
      <c r="G44" s="14">
        <f>IFERROR(INDEX(Live!$G$2:$G$45,MATCH(32,Live!$M$2:$M$45,0)),"")</f>
        <v/>
      </c>
    </row>
    <row r="45" spans="1:7" ht="22" customHeight="1" x14ac:dyDescent="0.25">
      <c r="A45" s="10">
        <f>IFERROR(INDEX(Live!$A$2:$A$45,MATCH(33,Live!$M$2:$M$45,0)),"")</f>
        <v>33</v>
      </c>
      <c r="B45" s="11" t="str">
        <f>IFERROR(INDEX(Live!$B$2:$B$45,MATCH(33,Live!$M$2:$M$45,0)),"")</f>
        <v>Plakat / Flyer</v>
      </c>
      <c r="C45" s="12" t="str">
        <f>IFERROR(INDEX(Live!$C$2:$C$45,MATCH(33,Live!$M$2:$M$45,0)),"")</f>
        <v>Print / Physisch</v>
      </c>
      <c r="D45" s="13">
        <f>IFERROR(INDEX(Live!$D$2:$D$45,MATCH(33,Live!$M$2:$M$45,0)),"")</f>
        <v/>
      </c>
      <c r="E45" s="13">
        <f>IFERROR(INDEX(Live!$E$2:$E$45,MATCH(33,Live!$M$2:$M$45,0)),"")</f>
        <v>38.0</v>
      </c>
      <c r="F45" s="14">
        <f>IFERROR(INDEX(Live!$F$2:$F$45,MATCH(33,Live!$M$2:$M$45,0)),"")</f>
        <v>56.5</v>
      </c>
      <c r="G45" s="14">
        <f>IFERROR(INDEX(Live!$G$2:$G$45,MATCH(33,Live!$M$2:$M$45,0)),"")</f>
        <v>25.6</v>
      </c>
    </row>
    <row r="46" spans="1:7" ht="22" customHeight="1" x14ac:dyDescent="0.25">
      <c r="A46" s="10">
        <f>IFERROR(INDEX(Live!$A$2:$A$45,MATCH(34,Live!$M$2:$M$45,0)),"")</f>
        <v>34</v>
      </c>
      <c r="B46" s="11" t="str">
        <f>IFERROR(INDEX(Live!$B$2:$B$45,MATCH(34,Live!$M$2:$M$45,0)),"")</f>
        <v>  ↳ Arzt</v>
      </c>
      <c r="C46" s="12" t="str">
        <f>IFERROR(INDEX(Live!$C$2:$C$45,MATCH(34,Live!$M$2:$M$45,0)),"")</f>
        <v>Print / Physisch</v>
      </c>
      <c r="D46" s="13">
        <f>IFERROR(INDEX(Live!$D$2:$D$45,MATCH(34,Live!$M$2:$M$45,0)),"")</f>
        <v/>
      </c>
      <c r="E46" s="13">
        <f>IFERROR(INDEX(Live!$E$2:$E$45,MATCH(34,Live!$M$2:$M$45,0)),"")</f>
        <v>29.9</v>
      </c>
      <c r="F46" s="14">
        <f>IFERROR(INDEX(Live!$F$2:$F$45,MATCH(34,Live!$M$2:$M$45,0)),"")</f>
        <v/>
      </c>
      <c r="G46" s="14">
        <f>IFERROR(INDEX(Live!$G$2:$G$45,MATCH(34,Live!$M$2:$M$45,0)),"")</f>
        <v/>
      </c>
    </row>
    <row r="47" spans="1:7" ht="22" customHeight="1" x14ac:dyDescent="0.25">
      <c r="A47" s="10">
        <f>IFERROR(INDEX(Live!$A$2:$A$45,MATCH(35,Live!$M$2:$M$45,0)),"")</f>
        <v>35</v>
      </c>
      <c r="B47" s="11" t="str">
        <f>IFERROR(INDEX(Live!$B$2:$B$45,MATCH(35,Live!$M$2:$M$45,0)),"")</f>
        <v>  ↳ Sportverein</v>
      </c>
      <c r="C47" s="12" t="str">
        <f>IFERROR(INDEX(Live!$C$2:$C$45,MATCH(35,Live!$M$2:$M$45,0)),"")</f>
        <v>Print / Physisch</v>
      </c>
      <c r="D47" s="13">
        <f>IFERROR(INDEX(Live!$D$2:$D$45,MATCH(35,Live!$M$2:$M$45,0)),"")</f>
        <v/>
      </c>
      <c r="E47" s="13">
        <f>IFERROR(INDEX(Live!$E$2:$E$45,MATCH(35,Live!$M$2:$M$45,0)),"")</f>
        <v>1.8</v>
      </c>
      <c r="F47" s="14">
        <f>IFERROR(INDEX(Live!$F$2:$F$45,MATCH(35,Live!$M$2:$M$45,0)),"")</f>
        <v/>
      </c>
      <c r="G47" s="14">
        <f>IFERROR(INDEX(Live!$G$2:$G$45,MATCH(35,Live!$M$2:$M$45,0)),"")</f>
        <v/>
      </c>
    </row>
    <row r="48" spans="1:7" ht="22" customHeight="1" x14ac:dyDescent="0.25">
      <c r="A48" s="10">
        <f>IFERROR(INDEX(Live!$A$2:$A$45,MATCH(36,Live!$M$2:$M$45,0)),"")</f>
        <v>36</v>
      </c>
      <c r="B48" s="11" t="str">
        <f>IFERROR(INDEX(Live!$B$2:$B$45,MATCH(36,Live!$M$2:$M$45,0)),"")</f>
        <v>  ↳ U- + S-Bahn</v>
      </c>
      <c r="C48" s="12" t="str">
        <f>IFERROR(INDEX(Live!$C$2:$C$45,MATCH(36,Live!$M$2:$M$45,0)),"")</f>
        <v>Print / Physisch</v>
      </c>
      <c r="D48" s="13">
        <f>IFERROR(INDEX(Live!$D$2:$D$45,MATCH(36,Live!$M$2:$M$45,0)),"")</f>
        <v/>
      </c>
      <c r="E48" s="13">
        <f>IFERROR(INDEX(Live!$E$2:$E$45,MATCH(36,Live!$M$2:$M$45,0)),"")</f>
        <v>15.8</v>
      </c>
      <c r="F48" s="14">
        <f>IFERROR(INDEX(Live!$F$2:$F$45,MATCH(36,Live!$M$2:$M$45,0)),"")</f>
        <v/>
      </c>
      <c r="G48" s="14">
        <f>IFERROR(INDEX(Live!$G$2:$G$45,MATCH(36,Live!$M$2:$M$45,0)),"")</f>
        <v/>
      </c>
    </row>
    <row r="49" spans="1:7" ht="22" customHeight="1" x14ac:dyDescent="0.25">
      <c r="A49" s="10">
        <f>IFERROR(INDEX(Live!$A$2:$A$45,MATCH(37,Live!$M$2:$M$45,0)),"")</f>
        <v>37</v>
      </c>
      <c r="B49" s="11" t="str">
        <f>IFERROR(INDEX(Live!$B$2:$B$45,MATCH(37,Live!$M$2:$M$45,0)),"")</f>
        <v>  ↳ Berufsschule + Uni</v>
      </c>
      <c r="C49" s="12" t="str">
        <f>IFERROR(INDEX(Live!$C$2:$C$45,MATCH(37,Live!$M$2:$M$45,0)),"")</f>
        <v>Print / Physisch</v>
      </c>
      <c r="D49" s="13">
        <f>IFERROR(INDEX(Live!$D$2:$D$45,MATCH(37,Live!$M$2:$M$45,0)),"")</f>
        <v/>
      </c>
      <c r="E49" s="13">
        <f>IFERROR(INDEX(Live!$E$2:$E$45,MATCH(37,Live!$M$2:$M$45,0)),"")</f>
        <v>3.8</v>
      </c>
      <c r="F49" s="14">
        <f>IFERROR(INDEX(Live!$F$2:$F$45,MATCH(37,Live!$M$2:$M$45,0)),"")</f>
        <v/>
      </c>
      <c r="G49" s="14">
        <f>IFERROR(INDEX(Live!$G$2:$G$45,MATCH(37,Live!$M$2:$M$45,0)),"")</f>
        <v/>
      </c>
    </row>
    <row r="50" spans="1:7" ht="22" customHeight="1" x14ac:dyDescent="0.25">
      <c r="A50" s="10">
        <f>IFERROR(INDEX(Live!$A$2:$A$45,MATCH(38,Live!$M$2:$M$45,0)),"")</f>
        <v>38</v>
      </c>
      <c r="B50" s="11" t="str">
        <f>IFERROR(INDEX(Live!$B$2:$B$45,MATCH(38,Live!$M$2:$M$45,0)),"")</f>
        <v>  ↳ Betrieb + Firma</v>
      </c>
      <c r="C50" s="12" t="str">
        <f>IFERROR(INDEX(Live!$C$2:$C$45,MATCH(38,Live!$M$2:$M$45,0)),"")</f>
        <v>Print / Physisch</v>
      </c>
      <c r="D50" s="13">
        <f>IFERROR(INDEX(Live!$D$2:$D$45,MATCH(38,Live!$M$2:$M$45,0)),"")</f>
        <v/>
      </c>
      <c r="E50" s="13">
        <f>IFERROR(INDEX(Live!$E$2:$E$45,MATCH(38,Live!$M$2:$M$45,0)),"")</f>
        <v>6.2</v>
      </c>
      <c r="F50" s="14">
        <f>IFERROR(INDEX(Live!$F$2:$F$45,MATCH(38,Live!$M$2:$M$45,0)),"")</f>
        <v/>
      </c>
      <c r="G50" s="14">
        <f>IFERROR(INDEX(Live!$G$2:$G$45,MATCH(38,Live!$M$2:$M$45,0)),"")</f>
        <v/>
      </c>
    </row>
    <row r="51" spans="1:7" ht="22" customHeight="1" x14ac:dyDescent="0.25">
      <c r="A51" s="10">
        <f>IFERROR(INDEX(Live!$A$2:$A$45,MATCH(39,Live!$M$2:$M$45,0)),"")</f>
        <v>39</v>
      </c>
      <c r="B51" s="11" t="str">
        <f>IFERROR(INDEX(Live!$B$2:$B$45,MATCH(39,Live!$M$2:$M$45,0)),"")</f>
        <v>Infoscreen</v>
      </c>
      <c r="C51" s="12" t="str">
        <f>IFERROR(INDEX(Live!$C$2:$C$45,MATCH(39,Live!$M$2:$M$45,0)),"")</f>
        <v>Print / Physisch</v>
      </c>
      <c r="D51" s="13">
        <f>IFERROR(INDEX(Live!$D$2:$D$45,MATCH(39,Live!$M$2:$M$45,0)),"")</f>
        <v/>
      </c>
      <c r="E51" s="13">
        <f>IFERROR(INDEX(Live!$E$2:$E$45,MATCH(39,Live!$M$2:$M$45,0)),"")</f>
        <v>18.4</v>
      </c>
      <c r="F51" s="14">
        <f>IFERROR(INDEX(Live!$F$2:$F$45,MATCH(39,Live!$M$2:$M$45,0)),"")</f>
        <v>56.0</v>
      </c>
      <c r="G51" s="14">
        <f>IFERROR(INDEX(Live!$G$2:$G$45,MATCH(39,Live!$M$2:$M$45,0)),"")</f>
        <v>12.3</v>
      </c>
    </row>
    <row r="52" spans="1:7" ht="22" customHeight="1" x14ac:dyDescent="0.25">
      <c r="A52" s="10">
        <f>IFERROR(INDEX(Live!$A$2:$A$45,MATCH(40,Live!$M$2:$M$45,0)),"")</f>
        <v>40</v>
      </c>
      <c r="B52" s="11" t="str">
        <f>IFERROR(INDEX(Live!$B$2:$B$45,MATCH(40,Live!$M$2:$M$45,0)),"")</f>
        <v>  ↳ im Ort</v>
      </c>
      <c r="C52" s="12" t="str">
        <f>IFERROR(INDEX(Live!$C$2:$C$45,MATCH(40,Live!$M$2:$M$45,0)),"")</f>
        <v>Print / Physisch</v>
      </c>
      <c r="D52" s="13">
        <f>IFERROR(INDEX(Live!$D$2:$D$45,MATCH(40,Live!$M$2:$M$45,0)),"")</f>
        <v/>
      </c>
      <c r="E52" s="13">
        <f>IFERROR(INDEX(Live!$E$2:$E$45,MATCH(40,Live!$M$2:$M$45,0)),"")</f>
        <v>5.8</v>
      </c>
      <c r="F52" s="14">
        <f>IFERROR(INDEX(Live!$F$2:$F$45,MATCH(40,Live!$M$2:$M$45,0)),"")</f>
        <v/>
      </c>
      <c r="G52" s="14">
        <f>IFERROR(INDEX(Live!$G$2:$G$45,MATCH(40,Live!$M$2:$M$45,0)),"")</f>
        <v/>
      </c>
    </row>
    <row r="53" spans="1:7" ht="22" customHeight="1" x14ac:dyDescent="0.25">
      <c r="A53" s="10">
        <f>IFERROR(INDEX(Live!$A$2:$A$45,MATCH(41,Live!$M$2:$M$45,0)),"")</f>
        <v>41</v>
      </c>
      <c r="B53" s="11" t="str">
        <f>IFERROR(INDEX(Live!$B$2:$B$45,MATCH(41,Live!$M$2:$M$45,0)),"")</f>
        <v>  ↳ an der Straße</v>
      </c>
      <c r="C53" s="12" t="str">
        <f>IFERROR(INDEX(Live!$C$2:$C$45,MATCH(41,Live!$M$2:$M$45,0)),"")</f>
        <v>Print / Physisch</v>
      </c>
      <c r="D53" s="13">
        <f>IFERROR(INDEX(Live!$D$2:$D$45,MATCH(41,Live!$M$2:$M$45,0)),"")</f>
        <v/>
      </c>
      <c r="E53" s="13">
        <f>IFERROR(INDEX(Live!$E$2:$E$45,MATCH(41,Live!$M$2:$M$45,0)),"")</f>
        <v>10.0</v>
      </c>
      <c r="F53" s="14">
        <f>IFERROR(INDEX(Live!$F$2:$F$45,MATCH(41,Live!$M$2:$M$45,0)),"")</f>
        <v/>
      </c>
      <c r="G53" s="14">
        <f>IFERROR(INDEX(Live!$G$2:$G$45,MATCH(41,Live!$M$2:$M$45,0)),"")</f>
        <v/>
      </c>
    </row>
    <row r="54" spans="1:7" ht="22" customHeight="1" x14ac:dyDescent="0.25">
      <c r="A54" s="10">
        <f>IFERROR(INDEX(Live!$A$2:$A$45,MATCH(42,Live!$M$2:$M$45,0)),"")</f>
        <v>42</v>
      </c>
      <c r="B54" s="11" t="str">
        <f>IFERROR(INDEX(Live!$B$2:$B$45,MATCH(42,Live!$M$2:$M$45,0)),"")</f>
        <v>  ↳ im Nahverkehr</v>
      </c>
      <c r="C54" s="12" t="str">
        <f>IFERROR(INDEX(Live!$C$2:$C$45,MATCH(42,Live!$M$2:$M$45,0)),"")</f>
        <v>Print / Physisch</v>
      </c>
      <c r="D54" s="13">
        <f>IFERROR(INDEX(Live!$D$2:$D$45,MATCH(42,Live!$M$2:$M$45,0)),"")</f>
        <v/>
      </c>
      <c r="E54" s="13">
        <f>IFERROR(INDEX(Live!$E$2:$E$45,MATCH(42,Live!$M$2:$M$45,0)),"")</f>
        <v>9.4</v>
      </c>
      <c r="F54" s="14">
        <f>IFERROR(INDEX(Live!$F$2:$F$45,MATCH(42,Live!$M$2:$M$45,0)),"")</f>
        <v/>
      </c>
      <c r="G54" s="14">
        <f>IFERROR(INDEX(Live!$G$2:$G$45,MATCH(42,Live!$M$2:$M$45,0)),"")</f>
        <v/>
      </c>
    </row>
    <row r="55" spans="1:7" ht="22" customHeight="1" x14ac:dyDescent="0.25">
      <c r="A55" s="10">
        <f>IFERROR(INDEX(Live!$A$2:$A$45,MATCH(43,Live!$M$2:$M$45,0)),"")</f>
        <v>43</v>
      </c>
      <c r="B55" s="11" t="str">
        <f>IFERROR(INDEX(Live!$B$2:$B$45,MATCH(43,Live!$M$2:$M$45,0)),"")</f>
        <v>Kurzer Beitrag TV + Radio</v>
      </c>
      <c r="C55" s="12" t="str">
        <f>IFERROR(INDEX(Live!$C$2:$C$45,MATCH(43,Live!$M$2:$M$45,0)),"")</f>
        <v>Traditionelle Medien</v>
      </c>
      <c r="D55" s="13">
        <f>IFERROR(INDEX(Live!$D$2:$D$45,MATCH(43,Live!$M$2:$M$45,0)),"")</f>
        <v/>
      </c>
      <c r="E55" s="13">
        <f>IFERROR(INDEX(Live!$E$2:$E$45,MATCH(43,Live!$M$2:$M$45,0)),"")</f>
        <v>59.8</v>
      </c>
      <c r="F55" s="14">
        <f>IFERROR(INDEX(Live!$F$2:$F$45,MATCH(43,Live!$M$2:$M$45,0)),"")</f>
        <v>61.7</v>
      </c>
      <c r="G55" s="14">
        <f>IFERROR(INDEX(Live!$G$2:$G$45,MATCH(43,Live!$M$2:$M$45,0)),"")</f>
        <v>42.6</v>
      </c>
    </row>
    <row r="56" spans="1:7" ht="22" customHeight="1" x14ac:dyDescent="0.25">
      <c r="A56" s="10">
        <f>IFERROR(INDEX(Live!$A$2:$A$45,MATCH(44,Live!$M$2:$M$45,0)),"")</f>
        <v>44</v>
      </c>
      <c r="B56" s="11" t="str">
        <f>IFERROR(INDEX(Live!$B$2:$B$45,MATCH(44,Live!$M$2:$M$45,0)),"")</f>
        <v>Internet-Newsletter</v>
      </c>
      <c r="C56" s="12" t="str">
        <f>IFERROR(INDEX(Live!$C$2:$C$45,MATCH(44,Live!$M$2:$M$45,0)),"")</f>
        <v>Internet</v>
      </c>
      <c r="D56" s="13">
        <f>IFERROR(INDEX(Live!$D$2:$D$45,MATCH(44,Live!$M$2:$M$45,0)),"")</f>
        <v/>
      </c>
      <c r="E56" s="13">
        <f>IFERROR(INDEX(Live!$E$2:$E$45,MATCH(44,Live!$M$2:$M$45,0)),"")</f>
        <v>42.1</v>
      </c>
      <c r="F56" s="14">
        <f>IFERROR(INDEX(Live!$F$2:$F$45,MATCH(44,Live!$M$2:$M$45,0)),"")</f>
        <v>50.1</v>
      </c>
      <c r="G56" s="14">
        <f>IFERROR(INDEX(Live!$G$2:$G$45,MATCH(44,Live!$M$2:$M$45,0)),"")</f>
        <v>26.4</v>
      </c>
    </row>
  </sheetData>
  <mergeCells count="9">
    <mergeCell ref="A1:G1"/>
    <mergeCell ref="A2:G2"/>
    <mergeCell ref="A3:G3"/>
    <mergeCell ref="A5:C5"/>
    <mergeCell ref="D5:G5"/>
    <mergeCell ref="F6:G6"/>
    <mergeCell ref="F7:G7"/>
    <mergeCell ref="F8:G8"/>
    <mergeCell ref="A10:G10"/>
  </mergeCells>
  <conditionalFormatting sqref="A13:G56">
    <cfRule type="expression" dxfId="6" priority="11">
      <formula>MOD(ROW(),2)=0</formula>
    </cfRule>
  </conditionalFormatting>
  <conditionalFormatting sqref="C13:C56">
    <cfRule type="expression" dxfId="0" priority="1" stopIfTrue="1">
      <formula>EXACT($C13,"Institutionell")</formula>
    </cfRule>
    <cfRule type="expression" dxfId="1" priority="2" stopIfTrue="1">
      <formula>EXACT($C13,"Internet")</formula>
    </cfRule>
    <cfRule type="expression" dxfId="2" priority="3" stopIfTrue="1">
      <formula>EXACT($C13,"Soziale Medien")</formula>
    </cfRule>
    <cfRule type="expression" dxfId="3" priority="4" stopIfTrue="1">
      <formula>EXACT($C13,"Traditionelle Medien")</formula>
    </cfRule>
    <cfRule type="expression" dxfId="4" priority="5" stopIfTrue="1">
      <formula>EXACT($C13,"Print / Physisch")</formula>
    </cfRule>
    <cfRule type="expression" dxfId="5" priority="6" stopIfTrue="1">
      <formula>EXACT($C13,"Persönliches Umfeld")</formula>
    </cfRule>
  </conditionalFormatting>
  <conditionalFormatting sqref="D13:D56">
    <cfRule type="dataBar" priority="7">
      <dataBar>
        <cfvo type="num" val="0"/>
        <cfvo type="num" val="100"/>
        <color rgb="FF718096"/>
      </dataBar>
      <extLst>
        <ext xmlns:x14="http://schemas.microsoft.com/office/spreadsheetml/2009/9/main" uri="{B025F937-C7B1-47D3-B67F-A62EFF666E3E}">
          <x14:id>{DA7ABA51-AAAA-BBBB-0001-000000000001}</x14:id>
        </ext>
      </extLst>
    </cfRule>
  </conditionalFormatting>
  <conditionalFormatting sqref="E13:E56">
    <cfRule type="dataBar" priority="8">
      <dataBar>
        <cfvo type="num" val="0"/>
        <cfvo type="num" val="100"/>
        <color rgb="FF5FA5C8"/>
      </dataBar>
      <extLst>
        <ext xmlns:x14="http://schemas.microsoft.com/office/spreadsheetml/2009/9/main" uri="{B025F937-C7B1-47D3-B67F-A62EFF666E3E}">
          <x14:id>{DA7ABA51-AAAA-BBBB-0001-000000000002}</x14:id>
        </ext>
      </extLst>
    </cfRule>
  </conditionalFormatting>
  <conditionalFormatting sqref="F13:F56">
    <cfRule type="dataBar" priority="9">
      <dataBar>
        <cfvo type="num" val="0"/>
        <cfvo type="num" val="100"/>
        <color rgb="FF1B7F44"/>
      </dataBar>
      <extLst>
        <ext xmlns:x14="http://schemas.microsoft.com/office/spreadsheetml/2009/9/main" uri="{B025F937-C7B1-47D3-B67F-A62EFF666E3E}">
          <x14:id>{DA7ABA51-AAAA-BBBB-0001-000000000003}</x14:id>
        </ext>
      </extLst>
    </cfRule>
  </conditionalFormatting>
  <conditionalFormatting sqref="G13:G56">
    <cfRule type="dataBar" priority="10">
      <dataBar>
        <cfvo type="num" val="0"/>
        <cfvo type="num" val="100"/>
        <color rgb="FFB7791F"/>
      </dataBar>
      <extLst>
        <ext xmlns:x14="http://schemas.microsoft.com/office/spreadsheetml/2009/9/main" uri="{B025F937-C7B1-47D3-B67F-A62EFF666E3E}">
          <x14:id>{DA7ABA51-AAAA-BBBB-0001-000000000004}</x14:id>
        </ext>
      </extLst>
    </cfRule>
  </conditionalFormatting>
  <dataValidations count="4">
    <dataValidation type="list" allowBlank="1" showInputMessage="1" showErrorMessage="1" sqref="C6">
      <formula1>Listen!$A$2:$A$6</formula1>
    </dataValidation>
    <dataValidation type="list" allowBlank="1" showInputMessage="1" showErrorMessage="1" sqref="C7">
      <formula1>Listen!$B$2:$B$8</formula1>
    </dataValidation>
    <dataValidation type="list" allowBlank="1" showInputMessage="1" showErrorMessage="1" sqref="F6:G6">
      <formula1>Listen!$C$2:$C$8</formula1>
    </dataValidation>
    <dataValidation type="list" allowBlank="1" showInputMessage="1" showErrorMessage="1" sqref="F7:G7">
      <formula1>Listen!$E$2:$E$3</formula1>
    </dataValidation>
  </dataValidations>
  <pageMargins left="0.3" right="0.3" top="0.4" bottom="0.4"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negativeBarBorderColorSameAsPositive="0">
              <x14:cfvo type="num">
                <xm:f>0</xm:f>
              </x14:cfvo>
              <x14:cfvo type="num">
                <xm:f>100</xm:f>
              </x14:cfvo>
              <x14:borderColor rgb="FF718096"/>
              <x14:negativeFillColor rgb="FFFF0000"/>
              <x14:negativeBorderColor rgb="FFFF0000"/>
              <x14:axisColor rgb="FF000000"/>
            </x14:dataBar>
          </x14:cfRule>
          <xm:sqref>D13:D56</xm:sqref>
        </x14:conditionalFormatting>
        <x14:conditionalFormatting xmlns:xm="http://schemas.microsoft.com/office/excel/2006/main">
          <x14:cfRule type="dataBar" id="{DA7ABA51-AAAA-BBBB-0001-000000000002}">
            <x14:dataBar minLength="0" maxLength="100" border="1" negativeBarBorderColorSameAsPositive="0">
              <x14:cfvo type="num">
                <xm:f>0</xm:f>
              </x14:cfvo>
              <x14:cfvo type="num">
                <xm:f>100</xm:f>
              </x14:cfvo>
              <x14:borderColor rgb="FF5FA5C8"/>
              <x14:negativeFillColor rgb="FFFF0000"/>
              <x14:negativeBorderColor rgb="FFFF0000"/>
              <x14:axisColor rgb="FF000000"/>
            </x14:dataBar>
          </x14:cfRule>
          <xm:sqref>E13:E56</xm:sqref>
        </x14:conditionalFormatting>
        <x14:conditionalFormatting xmlns:xm="http://schemas.microsoft.com/office/excel/2006/main">
          <x14:cfRule type="dataBar" id="{DA7ABA51-AAAA-BBBB-0001-000000000003}">
            <x14:dataBar minLength="0" maxLength="100" border="1" negativeBarBorderColorSameAsPositive="0">
              <x14:cfvo type="num">
                <xm:f>0</xm:f>
              </x14:cfvo>
              <x14:cfvo type="num">
                <xm:f>100</xm:f>
              </x14:cfvo>
              <x14:borderColor rgb="FF1B7F44"/>
              <x14:negativeFillColor rgb="FFFF0000"/>
              <x14:negativeBorderColor rgb="FFFF0000"/>
              <x14:axisColor rgb="FF000000"/>
            </x14:dataBar>
          </x14:cfRule>
          <xm:sqref>F13:F56</xm:sqref>
        </x14:conditionalFormatting>
        <x14:conditionalFormatting xmlns:xm="http://schemas.microsoft.com/office/excel/2006/main">
          <x14:cfRule type="dataBar" id="{DA7ABA51-AAAA-BBBB-0001-000000000004}">
            <x14:dataBar minLength="0" maxLength="100" border="1" negativeBarBorderColorSameAsPositive="0">
              <x14:cfvo type="num">
                <xm:f>0</xm:f>
              </x14:cfvo>
              <x14:cfvo type="num">
                <xm:f>100</xm:f>
              </x14:cfvo>
              <x14:borderColor rgb="FFB7791F"/>
              <x14:negativeFillColor rgb="FFFF0000"/>
              <x14:negativeBorderColor rgb="FFFF0000"/>
              <x14:axisColor rgb="FF000000"/>
            </x14:dataBar>
          </x14:cfRule>
          <xm:sqref>G13:G56</xm:sqref>
        </x14:conditionalFormatting>
      </x14:conditionalFormattings>
    </ext>
  </extLst>
</worksheet>
</file>

<file path=xl/worksheets/sheet2.xml><?xml version="1.0" encoding="utf-8"?>
<worksheet xmlns="http://schemas.openxmlformats.org/spreadsheetml/2006/main" xmlns:r="http://schemas.openxmlformats.org/officeDocument/2006/relationships">
  <dimension ref="A1:B15"/>
  <sheetViews>
    <sheetView workbookViewId="0"/>
  </sheetViews>
  <sheetFormatPr defaultRowHeight="15"/>
  <cols>
    <col min="1" max="1" width="34.7109375" customWidth="1"/>
    <col min="2" max="2" width="110.7109375" customWidth="1"/>
  </cols>
  <sheetData>
    <row r="1" spans="1:2" ht="30" customHeight="1">
      <c r="A1" s="15" t="s">
        <v>81</v>
      </c>
      <c r="B1" s="15"/>
    </row>
    <row r="3" spans="1:2" ht="90" customHeight="1">
      <c r="A3" s="16" t="s">
        <v>82</v>
      </c>
      <c r="B3" s="17" t="s">
        <v>83</v>
      </c>
    </row>
    <row r="4" spans="1:2" ht="45" customHeight="1">
      <c r="A4" s="16" t="s">
        <v>84</v>
      </c>
      <c r="B4" s="17" t="s">
        <v>85</v>
      </c>
    </row>
    <row r="5" spans="1:2" ht="60" customHeight="1">
      <c r="A5" s="16" t="s">
        <v>86</v>
      </c>
      <c r="B5" s="17" t="s">
        <v>87</v>
      </c>
    </row>
    <row r="6" spans="1:2" ht="90" customHeight="1">
      <c r="A6" s="16" t="s">
        <v>30</v>
      </c>
      <c r="B6" s="17" t="s">
        <v>88</v>
      </c>
    </row>
    <row r="7" spans="1:2" ht="30" customHeight="1">
      <c r="A7" s="16" t="s">
        <v>89</v>
      </c>
      <c r="B7" s="17" t="s">
        <v>90</v>
      </c>
    </row>
    <row r="8" spans="1:2" ht="30" customHeight="1">
      <c r="A8" s="16" t="s">
        <v>91</v>
      </c>
      <c r="B8" s="17" t="s">
        <v>92</v>
      </c>
    </row>
    <row r="9" spans="1:2" ht="30" customHeight="1">
      <c r="A9" s="16" t="s">
        <v>93</v>
      </c>
      <c r="B9" s="17" t="s">
        <v>94</v>
      </c>
    </row>
    <row r="10" spans="1:2" ht="30" customHeight="1">
      <c r="A10" s="16" t="s">
        <v>95</v>
      </c>
      <c r="B10" s="17" t="s">
        <v>96</v>
      </c>
    </row>
    <row r="11" spans="1:2" ht="45" customHeight="1">
      <c r="A11" s="16" t="s">
        <v>97</v>
      </c>
      <c r="B11" s="17" t="s">
        <v>98</v>
      </c>
    </row>
    <row r="12" spans="1:2" ht="45" customHeight="1">
      <c r="A12" s="16" t="s">
        <v>99</v>
      </c>
      <c r="B12" s="17" t="s">
        <v>100</v>
      </c>
    </row>
    <row r="13" spans="1:2" ht="45" customHeight="1">
      <c r="A13" s="16" t="s">
        <v>101</v>
      </c>
      <c r="B13" s="17" t="s">
        <v>102</v>
      </c>
    </row>
    <row r="14" spans="1:2" ht="45" customHeight="1">
      <c r="A14" s="16" t="s">
        <v>103</v>
      </c>
      <c r="B14" s="17" t="s">
        <v>104</v>
      </c>
    </row>
    <row r="15" spans="1:2" ht="60" customHeight="1">
      <c r="A15" s="16" t="s">
        <v>105</v>
      </c>
      <c r="B15" s="17" t="s">
        <v>106</v>
      </c>
    </row>
  </sheetData>
  <mergeCells count="1">
    <mergeCell ref="A1:B1"/>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G8"/>
  <sheetViews>
    <sheetView workbookViewId="0"/>
  </sheetViews>
  <sheetFormatPr defaultRowHeight="15"/>
  <cols>
    <col min="1" max="1" width="30.7109375" customWidth="1"/>
    <col min="2" max="2" width="24.7109375" customWidth="1"/>
    <col min="3" max="3" width="22.7109375" customWidth="1"/>
    <col min="4" max="4" width="13.7109375" customWidth="1"/>
    <col min="5" max="5" width="14.7109375" customWidth="1"/>
    <col min="7" max="7" width="12.7109375" customWidth="1"/>
  </cols>
  <sheetData>
    <row r="1" spans="1:7">
      <c r="A1" s="18" t="s">
        <v>0</v>
      </c>
      <c r="B1" s="18" t="s">
        <v>1</v>
      </c>
      <c r="C1" s="18" t="s">
        <v>2</v>
      </c>
      <c r="D1" s="18" t="s">
        <v>3</v>
      </c>
      <c r="E1" s="18" t="s">
        <v>4</v>
      </c>
      <c r="F1" s="19"/>
      <c r="G1" s="18" t="s">
        <v>5</v>
      </c>
    </row>
    <row r="2" spans="1:7">
      <c r="A2" s="19" t="s">
        <v>6</v>
      </c>
      <c r="B2" s="19" t="s">
        <v>11</v>
      </c>
      <c r="C2" s="19" t="s">
        <v>18</v>
      </c>
      <c r="D2" s="19">
        <v>1</v>
      </c>
      <c r="E2" s="19" t="s">
        <v>25</v>
      </c>
      <c r="G2" s="19">
        <f>IFERROR(VLOOKUP(sortFeld,$C$2:$D$8,2,FALSE()),1)</f>
        <v>1</v>
      </c>
    </row>
    <row r="3" spans="1:7">
      <c r="A3" s="19" t="s">
        <v>7</v>
      </c>
      <c r="B3" s="19" t="s">
        <v>12</v>
      </c>
      <c r="C3" s="19" t="s">
        <v>19</v>
      </c>
      <c r="D3" s="19">
        <v>2</v>
      </c>
      <c r="E3" s="19" t="s">
        <v>26</v>
      </c>
      <c r="G3" s="19">
        <f>IF(sortReihen="Absteigend",-1,1)</f>
        <v>1</v>
      </c>
    </row>
    <row r="4" spans="1:7">
      <c r="A4" s="19" t="s">
        <v>8</v>
      </c>
      <c r="B4" s="19" t="s">
        <v>13</v>
      </c>
      <c r="C4" s="19" t="s">
        <v>20</v>
      </c>
      <c r="D4" s="19">
        <v>3</v>
      </c>
    </row>
    <row r="5" spans="1:7">
      <c r="A5" s="19" t="s">
        <v>9</v>
      </c>
      <c r="B5" s="19" t="s">
        <v>14</v>
      </c>
      <c r="C5" s="19" t="s">
        <v>21</v>
      </c>
      <c r="D5" s="19">
        <v>4</v>
      </c>
    </row>
    <row r="6" spans="1:7">
      <c r="A6" s="19" t="s">
        <v>10</v>
      </c>
      <c r="B6" s="19" t="s">
        <v>15</v>
      </c>
      <c r="C6" s="19" t="s">
        <v>22</v>
      </c>
      <c r="D6" s="19">
        <v>5</v>
      </c>
    </row>
    <row r="7" spans="1:7">
      <c r="B7" s="19" t="s">
        <v>16</v>
      </c>
      <c r="C7" s="19" t="s">
        <v>23</v>
      </c>
      <c r="D7" s="19">
        <v>6</v>
      </c>
    </row>
    <row r="8" spans="1:7">
      <c r="B8" s="19" t="s">
        <v>17</v>
      </c>
      <c r="C8" s="19" t="s">
        <v>24</v>
      </c>
      <c r="D8" s="19">
        <v>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G222"/>
  <sheetViews>
    <sheetView workbookViewId="0">
      <pane ySplit="2" topLeftCell="A3" activePane="bottomLeft" state="frozen"/>
      <selection pane="bottomLeft"/>
    </sheetView>
  </sheetViews>
  <sheetFormatPr defaultRowHeight="15"/>
  <cols>
    <col min="1" max="1" width="12.7109375" customWidth="1"/>
    <col min="2" max="2" width="14.7109375" customWidth="1"/>
    <col min="3" max="3" width="28.7109375" customWidth="1"/>
    <col min="4" max="7" width="16.7109375" customWidth="1"/>
  </cols>
  <sheetData>
    <row r="1" spans="1:7">
      <c r="A1" s="20" t="s">
        <v>27</v>
      </c>
    </row>
    <row r="2" spans="1:7">
      <c r="A2" t="s">
        <v>28</v>
      </c>
      <c r="B2" t="s">
        <v>29</v>
      </c>
      <c r="C2" t="s">
        <v>30</v>
      </c>
      <c r="D2" t="s">
        <v>21</v>
      </c>
      <c r="E2" t="s">
        <v>22</v>
      </c>
      <c r="F2" t="s">
        <v>31</v>
      </c>
      <c r="G2" t="s">
        <v>32</v>
      </c>
    </row>
    <row r="3" spans="1:7">
      <c r="A3">
        <v>1</v>
      </c>
      <c r="B3" t="s">
        <v>33</v>
      </c>
      <c r="C3" t="s">
        <v>6</v>
      </c>
      <c r="D3">
        <v>28.8</v>
      </c>
      <c r="F3">
        <v>79.40000000000001</v>
      </c>
      <c r="G3">
        <v>24.4</v>
      </c>
    </row>
    <row r="4" spans="1:7">
      <c r="A4">
        <v>1</v>
      </c>
      <c r="B4" t="s">
        <v>34</v>
      </c>
      <c r="C4" t="s">
        <v>7</v>
      </c>
      <c r="D4">
        <v>52.6</v>
      </c>
      <c r="F4">
        <v>79.5</v>
      </c>
      <c r="G4">
        <v>44.5</v>
      </c>
    </row>
    <row r="5" spans="1:7">
      <c r="A5">
        <v>1</v>
      </c>
      <c r="B5" t="s">
        <v>35</v>
      </c>
      <c r="C5" t="s">
        <v>8</v>
      </c>
      <c r="D5">
        <v>36.6</v>
      </c>
      <c r="F5">
        <v>78.2</v>
      </c>
      <c r="G5">
        <v>30.6</v>
      </c>
    </row>
    <row r="6" spans="1:7">
      <c r="A6">
        <v>1</v>
      </c>
      <c r="B6" t="s">
        <v>36</v>
      </c>
      <c r="C6" t="s">
        <v>9</v>
      </c>
      <c r="D6">
        <v>39.2</v>
      </c>
      <c r="F6">
        <v>75.59999999999999</v>
      </c>
      <c r="G6">
        <v>32</v>
      </c>
    </row>
    <row r="7" spans="1:7">
      <c r="A7">
        <v>1</v>
      </c>
      <c r="B7" t="s">
        <v>37</v>
      </c>
      <c r="C7" t="s">
        <v>10</v>
      </c>
      <c r="D7">
        <v>29.1</v>
      </c>
      <c r="F7">
        <v>77.8</v>
      </c>
      <c r="G7">
        <v>24.2</v>
      </c>
    </row>
    <row r="8" spans="1:7">
      <c r="A8">
        <v>2</v>
      </c>
      <c r="B8" t="s">
        <v>33</v>
      </c>
      <c r="C8" t="s">
        <v>6</v>
      </c>
      <c r="D8">
        <v>60.4</v>
      </c>
      <c r="F8">
        <v>91.7</v>
      </c>
      <c r="G8">
        <v>56.6</v>
      </c>
    </row>
    <row r="9" spans="1:7">
      <c r="A9">
        <v>2</v>
      </c>
      <c r="B9" t="s">
        <v>34</v>
      </c>
      <c r="C9" t="s">
        <v>7</v>
      </c>
      <c r="D9">
        <v>37.3</v>
      </c>
      <c r="F9">
        <v>90.90000000000001</v>
      </c>
      <c r="G9">
        <v>34.8</v>
      </c>
    </row>
    <row r="10" spans="1:7">
      <c r="A10">
        <v>2</v>
      </c>
      <c r="B10" t="s">
        <v>35</v>
      </c>
      <c r="C10" t="s">
        <v>8</v>
      </c>
      <c r="D10">
        <v>47.3</v>
      </c>
      <c r="F10">
        <v>89</v>
      </c>
      <c r="G10">
        <v>43.4</v>
      </c>
    </row>
    <row r="11" spans="1:7">
      <c r="A11">
        <v>2</v>
      </c>
      <c r="B11" t="s">
        <v>36</v>
      </c>
      <c r="C11" t="s">
        <v>9</v>
      </c>
      <c r="D11">
        <v>48</v>
      </c>
      <c r="F11">
        <v>93.7</v>
      </c>
      <c r="G11">
        <v>45.8</v>
      </c>
    </row>
    <row r="12" spans="1:7">
      <c r="A12">
        <v>2</v>
      </c>
      <c r="B12" t="s">
        <v>37</v>
      </c>
      <c r="C12" t="s">
        <v>10</v>
      </c>
      <c r="D12">
        <v>54.3</v>
      </c>
      <c r="F12">
        <v>91.40000000000001</v>
      </c>
      <c r="G12">
        <v>50.8</v>
      </c>
    </row>
    <row r="13" spans="1:7">
      <c r="A13">
        <v>3</v>
      </c>
      <c r="B13" t="s">
        <v>33</v>
      </c>
      <c r="C13" t="s">
        <v>6</v>
      </c>
      <c r="D13">
        <v>49.7</v>
      </c>
    </row>
    <row r="14" spans="1:7">
      <c r="A14">
        <v>3</v>
      </c>
      <c r="B14" t="s">
        <v>34</v>
      </c>
      <c r="C14" t="s">
        <v>7</v>
      </c>
      <c r="D14">
        <v>23.3</v>
      </c>
    </row>
    <row r="15" spans="1:7">
      <c r="A15">
        <v>3</v>
      </c>
      <c r="B15" t="s">
        <v>35</v>
      </c>
      <c r="C15" t="s">
        <v>8</v>
      </c>
      <c r="D15">
        <v>38.4</v>
      </c>
    </row>
    <row r="16" spans="1:7">
      <c r="A16">
        <v>3</v>
      </c>
      <c r="B16" t="s">
        <v>36</v>
      </c>
      <c r="C16" t="s">
        <v>9</v>
      </c>
      <c r="D16">
        <v>33.3</v>
      </c>
    </row>
    <row r="17" spans="1:7">
      <c r="A17">
        <v>3</v>
      </c>
      <c r="B17" t="s">
        <v>37</v>
      </c>
      <c r="C17" t="s">
        <v>10</v>
      </c>
      <c r="D17">
        <v>45.7</v>
      </c>
    </row>
    <row r="18" spans="1:7">
      <c r="A18">
        <v>4</v>
      </c>
      <c r="B18" t="s">
        <v>33</v>
      </c>
      <c r="C18" t="s">
        <v>6</v>
      </c>
      <c r="D18">
        <v>21.8</v>
      </c>
    </row>
    <row r="19" spans="1:7">
      <c r="A19">
        <v>4</v>
      </c>
      <c r="B19" t="s">
        <v>34</v>
      </c>
      <c r="C19" t="s">
        <v>7</v>
      </c>
      <c r="D19">
        <v>22.5</v>
      </c>
    </row>
    <row r="20" spans="1:7">
      <c r="A20">
        <v>4</v>
      </c>
      <c r="B20" t="s">
        <v>35</v>
      </c>
      <c r="C20" t="s">
        <v>8</v>
      </c>
      <c r="D20">
        <v>23.3</v>
      </c>
    </row>
    <row r="21" spans="1:7">
      <c r="A21">
        <v>4</v>
      </c>
      <c r="B21" t="s">
        <v>36</v>
      </c>
      <c r="C21" t="s">
        <v>9</v>
      </c>
      <c r="D21">
        <v>30.1</v>
      </c>
    </row>
    <row r="22" spans="1:7">
      <c r="A22">
        <v>4</v>
      </c>
      <c r="B22" t="s">
        <v>37</v>
      </c>
      <c r="C22" t="s">
        <v>10</v>
      </c>
      <c r="D22">
        <v>21.5</v>
      </c>
    </row>
    <row r="23" spans="1:7">
      <c r="A23">
        <v>5</v>
      </c>
      <c r="B23" t="s">
        <v>33</v>
      </c>
      <c r="C23" t="s">
        <v>6</v>
      </c>
      <c r="D23">
        <v>18</v>
      </c>
      <c r="F23">
        <v>90</v>
      </c>
      <c r="G23">
        <v>16.7</v>
      </c>
    </row>
    <row r="24" spans="1:7">
      <c r="A24">
        <v>5</v>
      </c>
      <c r="B24" t="s">
        <v>34</v>
      </c>
      <c r="C24" t="s">
        <v>7</v>
      </c>
      <c r="D24">
        <v>8.699999999999999</v>
      </c>
      <c r="F24">
        <v>79.5</v>
      </c>
      <c r="G24">
        <v>7.4</v>
      </c>
    </row>
    <row r="25" spans="1:7">
      <c r="A25">
        <v>5</v>
      </c>
      <c r="B25" t="s">
        <v>35</v>
      </c>
      <c r="C25" t="s">
        <v>8</v>
      </c>
      <c r="D25">
        <v>9.9</v>
      </c>
      <c r="F25">
        <v>85</v>
      </c>
      <c r="G25">
        <v>8.800000000000001</v>
      </c>
    </row>
    <row r="26" spans="1:7">
      <c r="A26">
        <v>5</v>
      </c>
      <c r="B26" t="s">
        <v>36</v>
      </c>
      <c r="C26" t="s">
        <v>9</v>
      </c>
      <c r="D26">
        <v>14.1</v>
      </c>
      <c r="F26">
        <v>87.59999999999999</v>
      </c>
      <c r="G26">
        <v>12.7</v>
      </c>
    </row>
    <row r="27" spans="1:7">
      <c r="A27">
        <v>5</v>
      </c>
      <c r="B27" t="s">
        <v>37</v>
      </c>
      <c r="C27" t="s">
        <v>10</v>
      </c>
      <c r="D27">
        <v>14.7</v>
      </c>
      <c r="F27">
        <v>89</v>
      </c>
      <c r="G27">
        <v>13.5</v>
      </c>
    </row>
    <row r="28" spans="1:7">
      <c r="A28">
        <v>6</v>
      </c>
      <c r="B28" t="s">
        <v>33</v>
      </c>
      <c r="C28" t="s">
        <v>6</v>
      </c>
      <c r="D28">
        <v>9.4</v>
      </c>
    </row>
    <row r="29" spans="1:7">
      <c r="A29">
        <v>6</v>
      </c>
      <c r="B29" t="s">
        <v>34</v>
      </c>
      <c r="C29" t="s">
        <v>7</v>
      </c>
      <c r="D29">
        <v>3.5</v>
      </c>
    </row>
    <row r="30" spans="1:7">
      <c r="A30">
        <v>6</v>
      </c>
      <c r="B30" t="s">
        <v>35</v>
      </c>
      <c r="C30" t="s">
        <v>8</v>
      </c>
      <c r="D30">
        <v>4.5</v>
      </c>
    </row>
    <row r="31" spans="1:7">
      <c r="A31">
        <v>6</v>
      </c>
      <c r="B31" t="s">
        <v>36</v>
      </c>
      <c r="C31" t="s">
        <v>9</v>
      </c>
      <c r="D31">
        <v>5.9</v>
      </c>
    </row>
    <row r="32" spans="1:7">
      <c r="A32">
        <v>6</v>
      </c>
      <c r="B32" t="s">
        <v>37</v>
      </c>
      <c r="C32" t="s">
        <v>10</v>
      </c>
      <c r="D32">
        <v>6.2</v>
      </c>
    </row>
    <row r="33" spans="1:7">
      <c r="A33">
        <v>7</v>
      </c>
      <c r="B33" t="s">
        <v>33</v>
      </c>
      <c r="C33" t="s">
        <v>6</v>
      </c>
      <c r="D33">
        <v>10.3</v>
      </c>
    </row>
    <row r="34" spans="1:7">
      <c r="A34">
        <v>7</v>
      </c>
      <c r="B34" t="s">
        <v>34</v>
      </c>
      <c r="C34" t="s">
        <v>7</v>
      </c>
      <c r="D34">
        <v>4.7</v>
      </c>
    </row>
    <row r="35" spans="1:7">
      <c r="A35">
        <v>7</v>
      </c>
      <c r="B35" t="s">
        <v>35</v>
      </c>
      <c r="C35" t="s">
        <v>8</v>
      </c>
      <c r="D35">
        <v>6.7</v>
      </c>
    </row>
    <row r="36" spans="1:7">
      <c r="A36">
        <v>7</v>
      </c>
      <c r="B36" t="s">
        <v>36</v>
      </c>
      <c r="C36" t="s">
        <v>9</v>
      </c>
      <c r="D36">
        <v>10.1</v>
      </c>
    </row>
    <row r="37" spans="1:7">
      <c r="A37">
        <v>7</v>
      </c>
      <c r="B37" t="s">
        <v>37</v>
      </c>
      <c r="C37" t="s">
        <v>10</v>
      </c>
      <c r="D37">
        <v>12</v>
      </c>
    </row>
    <row r="38" spans="1:7">
      <c r="A38">
        <v>8</v>
      </c>
      <c r="B38" t="s">
        <v>33</v>
      </c>
      <c r="C38" t="s">
        <v>6</v>
      </c>
      <c r="D38">
        <v>30.1</v>
      </c>
      <c r="F38">
        <v>91.90000000000001</v>
      </c>
      <c r="G38">
        <v>28.3</v>
      </c>
    </row>
    <row r="39" spans="1:7">
      <c r="A39">
        <v>8</v>
      </c>
      <c r="B39" t="s">
        <v>34</v>
      </c>
      <c r="C39" t="s">
        <v>7</v>
      </c>
      <c r="D39">
        <v>20.8</v>
      </c>
      <c r="F39">
        <v>82.7</v>
      </c>
      <c r="G39">
        <v>18.1</v>
      </c>
    </row>
    <row r="40" spans="1:7">
      <c r="A40">
        <v>8</v>
      </c>
      <c r="B40" t="s">
        <v>35</v>
      </c>
      <c r="C40" t="s">
        <v>8</v>
      </c>
      <c r="D40">
        <v>25.7</v>
      </c>
      <c r="F40">
        <v>90.40000000000001</v>
      </c>
      <c r="G40">
        <v>23.9</v>
      </c>
    </row>
    <row r="41" spans="1:7">
      <c r="A41">
        <v>8</v>
      </c>
      <c r="B41" t="s">
        <v>36</v>
      </c>
      <c r="C41" t="s">
        <v>9</v>
      </c>
      <c r="D41">
        <v>24.2</v>
      </c>
      <c r="F41">
        <v>90.5</v>
      </c>
      <c r="G41">
        <v>22.5</v>
      </c>
    </row>
    <row r="42" spans="1:7">
      <c r="A42">
        <v>8</v>
      </c>
      <c r="B42" t="s">
        <v>37</v>
      </c>
      <c r="C42" t="s">
        <v>10</v>
      </c>
      <c r="D42">
        <v>30.2</v>
      </c>
      <c r="F42">
        <v>91.5</v>
      </c>
      <c r="G42">
        <v>28.3</v>
      </c>
    </row>
    <row r="43" spans="1:7">
      <c r="A43">
        <v>9</v>
      </c>
      <c r="B43" t="s">
        <v>33</v>
      </c>
      <c r="C43" t="s">
        <v>6</v>
      </c>
      <c r="D43">
        <v>19.7</v>
      </c>
    </row>
    <row r="44" spans="1:7">
      <c r="A44">
        <v>9</v>
      </c>
      <c r="B44" t="s">
        <v>34</v>
      </c>
      <c r="C44" t="s">
        <v>7</v>
      </c>
      <c r="D44">
        <v>10.2</v>
      </c>
    </row>
    <row r="45" spans="1:7">
      <c r="A45">
        <v>9</v>
      </c>
      <c r="B45" t="s">
        <v>35</v>
      </c>
      <c r="C45" t="s">
        <v>8</v>
      </c>
      <c r="D45">
        <v>14.6</v>
      </c>
    </row>
    <row r="46" spans="1:7">
      <c r="A46">
        <v>9</v>
      </c>
      <c r="B46" t="s">
        <v>36</v>
      </c>
      <c r="C46" t="s">
        <v>9</v>
      </c>
      <c r="D46">
        <v>13.1</v>
      </c>
    </row>
    <row r="47" spans="1:7">
      <c r="A47">
        <v>9</v>
      </c>
      <c r="B47" t="s">
        <v>37</v>
      </c>
      <c r="C47" t="s">
        <v>10</v>
      </c>
      <c r="D47">
        <v>18.2</v>
      </c>
    </row>
    <row r="48" spans="1:7">
      <c r="A48">
        <v>10</v>
      </c>
      <c r="B48" t="s">
        <v>33</v>
      </c>
      <c r="C48" t="s">
        <v>6</v>
      </c>
      <c r="D48">
        <v>15.2</v>
      </c>
    </row>
    <row r="49" spans="1:7">
      <c r="A49">
        <v>10</v>
      </c>
      <c r="B49" t="s">
        <v>34</v>
      </c>
      <c r="C49" t="s">
        <v>7</v>
      </c>
      <c r="D49">
        <v>14.2</v>
      </c>
    </row>
    <row r="50" spans="1:7">
      <c r="A50">
        <v>10</v>
      </c>
      <c r="B50" t="s">
        <v>35</v>
      </c>
      <c r="C50" t="s">
        <v>8</v>
      </c>
      <c r="D50">
        <v>18.1</v>
      </c>
    </row>
    <row r="51" spans="1:7">
      <c r="A51">
        <v>10</v>
      </c>
      <c r="B51" t="s">
        <v>36</v>
      </c>
      <c r="C51" t="s">
        <v>9</v>
      </c>
      <c r="D51">
        <v>18.6</v>
      </c>
    </row>
    <row r="52" spans="1:7">
      <c r="A52">
        <v>10</v>
      </c>
      <c r="B52" t="s">
        <v>37</v>
      </c>
      <c r="C52" t="s">
        <v>10</v>
      </c>
      <c r="D52">
        <v>19.6</v>
      </c>
    </row>
    <row r="53" spans="1:7">
      <c r="A53">
        <v>11</v>
      </c>
      <c r="B53" t="s">
        <v>33</v>
      </c>
      <c r="C53" t="s">
        <v>6</v>
      </c>
      <c r="D53">
        <v>4.3</v>
      </c>
      <c r="F53">
        <v>80.09999999999999</v>
      </c>
      <c r="G53">
        <v>3.6</v>
      </c>
    </row>
    <row r="54" spans="1:7">
      <c r="A54">
        <v>11</v>
      </c>
      <c r="B54" t="s">
        <v>34</v>
      </c>
      <c r="C54" t="s">
        <v>7</v>
      </c>
      <c r="D54">
        <v>5.4</v>
      </c>
      <c r="F54">
        <v>46</v>
      </c>
      <c r="G54">
        <v>3.2</v>
      </c>
    </row>
    <row r="55" spans="1:7">
      <c r="A55">
        <v>11</v>
      </c>
      <c r="B55" t="s">
        <v>35</v>
      </c>
      <c r="C55" t="s">
        <v>8</v>
      </c>
      <c r="D55">
        <v>3.5</v>
      </c>
      <c r="F55">
        <v>71.40000000000001</v>
      </c>
      <c r="G55">
        <v>2.7</v>
      </c>
    </row>
    <row r="56" spans="1:7">
      <c r="A56">
        <v>11</v>
      </c>
      <c r="B56" t="s">
        <v>36</v>
      </c>
      <c r="C56" t="s">
        <v>9</v>
      </c>
      <c r="D56">
        <v>5.9</v>
      </c>
      <c r="F56">
        <v>68.5</v>
      </c>
      <c r="G56">
        <v>4.5</v>
      </c>
    </row>
    <row r="57" spans="1:7">
      <c r="A57">
        <v>11</v>
      </c>
      <c r="B57" t="s">
        <v>37</v>
      </c>
      <c r="C57" t="s">
        <v>10</v>
      </c>
      <c r="D57">
        <v>3.1</v>
      </c>
      <c r="F57">
        <v>85.40000000000001</v>
      </c>
      <c r="G57">
        <v>2.8</v>
      </c>
    </row>
    <row r="58" spans="1:7">
      <c r="A58">
        <v>12</v>
      </c>
      <c r="B58" t="s">
        <v>33</v>
      </c>
      <c r="C58" t="s">
        <v>6</v>
      </c>
      <c r="D58">
        <v>1.9</v>
      </c>
    </row>
    <row r="59" spans="1:7">
      <c r="A59">
        <v>12</v>
      </c>
      <c r="B59" t="s">
        <v>34</v>
      </c>
      <c r="C59" t="s">
        <v>7</v>
      </c>
      <c r="D59">
        <v>1</v>
      </c>
    </row>
    <row r="60" spans="1:7">
      <c r="A60">
        <v>12</v>
      </c>
      <c r="B60" t="s">
        <v>35</v>
      </c>
      <c r="C60" t="s">
        <v>8</v>
      </c>
      <c r="D60">
        <v>1.5</v>
      </c>
    </row>
    <row r="61" spans="1:7">
      <c r="A61">
        <v>12</v>
      </c>
      <c r="B61" t="s">
        <v>36</v>
      </c>
      <c r="C61" t="s">
        <v>9</v>
      </c>
      <c r="D61">
        <v>1.6</v>
      </c>
    </row>
    <row r="62" spans="1:7">
      <c r="A62">
        <v>12</v>
      </c>
      <c r="B62" t="s">
        <v>37</v>
      </c>
      <c r="C62" t="s">
        <v>10</v>
      </c>
      <c r="D62">
        <v>1.2</v>
      </c>
    </row>
    <row r="63" spans="1:7">
      <c r="A63">
        <v>13</v>
      </c>
      <c r="B63" t="s">
        <v>33</v>
      </c>
      <c r="C63" t="s">
        <v>6</v>
      </c>
      <c r="D63">
        <v>2.3</v>
      </c>
    </row>
    <row r="64" spans="1:7">
      <c r="A64">
        <v>13</v>
      </c>
      <c r="B64" t="s">
        <v>34</v>
      </c>
      <c r="C64" t="s">
        <v>7</v>
      </c>
      <c r="D64">
        <v>2.1</v>
      </c>
    </row>
    <row r="65" spans="1:7">
      <c r="A65">
        <v>13</v>
      </c>
      <c r="B65" t="s">
        <v>35</v>
      </c>
      <c r="C65" t="s">
        <v>8</v>
      </c>
      <c r="D65">
        <v>1.7</v>
      </c>
    </row>
    <row r="66" spans="1:7">
      <c r="A66">
        <v>13</v>
      </c>
      <c r="B66" t="s">
        <v>36</v>
      </c>
      <c r="C66" t="s">
        <v>9</v>
      </c>
      <c r="D66">
        <v>3.3</v>
      </c>
    </row>
    <row r="67" spans="1:7">
      <c r="A67">
        <v>13</v>
      </c>
      <c r="B67" t="s">
        <v>37</v>
      </c>
      <c r="C67" t="s">
        <v>10</v>
      </c>
      <c r="D67">
        <v>2.3</v>
      </c>
    </row>
    <row r="68" spans="1:7">
      <c r="A68">
        <v>14</v>
      </c>
      <c r="B68" t="s">
        <v>33</v>
      </c>
      <c r="C68" t="s">
        <v>6</v>
      </c>
      <c r="D68">
        <v>26.7</v>
      </c>
      <c r="F68">
        <v>66.3</v>
      </c>
      <c r="G68">
        <v>20</v>
      </c>
    </row>
    <row r="69" spans="1:7">
      <c r="A69">
        <v>14</v>
      </c>
      <c r="B69" t="s">
        <v>34</v>
      </c>
      <c r="C69" t="s">
        <v>7</v>
      </c>
      <c r="D69">
        <v>40.2</v>
      </c>
      <c r="F69">
        <v>73.3</v>
      </c>
      <c r="G69">
        <v>32.2</v>
      </c>
    </row>
    <row r="70" spans="1:7">
      <c r="A70">
        <v>14</v>
      </c>
      <c r="B70" t="s">
        <v>35</v>
      </c>
      <c r="C70" t="s">
        <v>8</v>
      </c>
      <c r="D70">
        <v>30.7</v>
      </c>
      <c r="F70">
        <v>66.40000000000001</v>
      </c>
      <c r="G70">
        <v>23</v>
      </c>
    </row>
    <row r="71" spans="1:7">
      <c r="A71">
        <v>14</v>
      </c>
      <c r="B71" t="s">
        <v>36</v>
      </c>
      <c r="C71" t="s">
        <v>9</v>
      </c>
      <c r="D71">
        <v>36.6</v>
      </c>
      <c r="F71">
        <v>67.59999999999999</v>
      </c>
      <c r="G71">
        <v>27.7</v>
      </c>
    </row>
    <row r="72" spans="1:7">
      <c r="A72">
        <v>14</v>
      </c>
      <c r="B72" t="s">
        <v>37</v>
      </c>
      <c r="C72" t="s">
        <v>10</v>
      </c>
      <c r="D72">
        <v>29.8</v>
      </c>
      <c r="F72">
        <v>65.8</v>
      </c>
      <c r="G72">
        <v>22.2</v>
      </c>
    </row>
    <row r="73" spans="1:7">
      <c r="A73">
        <v>15</v>
      </c>
      <c r="B73" t="s">
        <v>33</v>
      </c>
      <c r="C73" t="s">
        <v>6</v>
      </c>
      <c r="D73">
        <v>51.1</v>
      </c>
      <c r="F73">
        <v>72.2</v>
      </c>
      <c r="G73">
        <v>40.5</v>
      </c>
    </row>
    <row r="74" spans="1:7">
      <c r="A74">
        <v>15</v>
      </c>
      <c r="B74" t="s">
        <v>34</v>
      </c>
      <c r="C74" t="s">
        <v>7</v>
      </c>
      <c r="D74">
        <v>40.7</v>
      </c>
      <c r="F74">
        <v>78.59999999999999</v>
      </c>
      <c r="G74">
        <v>34.2</v>
      </c>
    </row>
    <row r="75" spans="1:7">
      <c r="A75">
        <v>15</v>
      </c>
      <c r="B75" t="s">
        <v>35</v>
      </c>
      <c r="C75" t="s">
        <v>8</v>
      </c>
      <c r="D75">
        <v>56.9</v>
      </c>
      <c r="F75">
        <v>75.40000000000001</v>
      </c>
      <c r="G75">
        <v>46.4</v>
      </c>
    </row>
    <row r="76" spans="1:7">
      <c r="A76">
        <v>15</v>
      </c>
      <c r="B76" t="s">
        <v>36</v>
      </c>
      <c r="C76" t="s">
        <v>9</v>
      </c>
      <c r="D76">
        <v>50.3</v>
      </c>
      <c r="F76">
        <v>77.7</v>
      </c>
      <c r="G76">
        <v>41.9</v>
      </c>
    </row>
    <row r="77" spans="1:7">
      <c r="A77">
        <v>15</v>
      </c>
      <c r="B77" t="s">
        <v>37</v>
      </c>
      <c r="C77" t="s">
        <v>10</v>
      </c>
      <c r="D77">
        <v>58.1</v>
      </c>
      <c r="F77">
        <v>74.59999999999999</v>
      </c>
      <c r="G77">
        <v>47</v>
      </c>
    </row>
    <row r="78" spans="1:7">
      <c r="A78">
        <v>16</v>
      </c>
      <c r="B78" t="s">
        <v>33</v>
      </c>
      <c r="C78" t="s">
        <v>6</v>
      </c>
      <c r="D78">
        <v>23.3</v>
      </c>
      <c r="F78">
        <v>59.3</v>
      </c>
      <c r="G78">
        <v>16.2</v>
      </c>
    </row>
    <row r="79" spans="1:7">
      <c r="A79">
        <v>16</v>
      </c>
      <c r="B79" t="s">
        <v>34</v>
      </c>
      <c r="C79" t="s">
        <v>7</v>
      </c>
      <c r="D79">
        <v>29.5</v>
      </c>
      <c r="F79">
        <v>55.8</v>
      </c>
      <c r="G79">
        <v>19.7</v>
      </c>
    </row>
    <row r="80" spans="1:7">
      <c r="A80">
        <v>16</v>
      </c>
      <c r="B80" t="s">
        <v>35</v>
      </c>
      <c r="C80" t="s">
        <v>8</v>
      </c>
      <c r="D80">
        <v>36.9</v>
      </c>
      <c r="F80">
        <v>59.7</v>
      </c>
      <c r="G80">
        <v>25.7</v>
      </c>
    </row>
    <row r="81" spans="1:7">
      <c r="A81">
        <v>16</v>
      </c>
      <c r="B81" t="s">
        <v>36</v>
      </c>
      <c r="C81" t="s">
        <v>9</v>
      </c>
      <c r="D81">
        <v>28.1</v>
      </c>
      <c r="F81">
        <v>54.7</v>
      </c>
      <c r="G81">
        <v>18.5</v>
      </c>
    </row>
    <row r="82" spans="1:7">
      <c r="A82">
        <v>16</v>
      </c>
      <c r="B82" t="s">
        <v>37</v>
      </c>
      <c r="C82" t="s">
        <v>10</v>
      </c>
      <c r="D82">
        <v>26.7</v>
      </c>
      <c r="F82">
        <v>61.6</v>
      </c>
      <c r="G82">
        <v>19</v>
      </c>
    </row>
    <row r="83" spans="1:7">
      <c r="A83">
        <v>17</v>
      </c>
      <c r="B83" t="s">
        <v>33</v>
      </c>
      <c r="C83" t="s">
        <v>6</v>
      </c>
      <c r="D83">
        <v>51.2</v>
      </c>
      <c r="F83">
        <v>61.2</v>
      </c>
      <c r="G83">
        <v>36.3</v>
      </c>
    </row>
    <row r="84" spans="1:7">
      <c r="A84">
        <v>17</v>
      </c>
      <c r="B84" t="s">
        <v>34</v>
      </c>
      <c r="C84" t="s">
        <v>7</v>
      </c>
      <c r="D84">
        <v>46.3</v>
      </c>
      <c r="F84">
        <v>66.09999999999999</v>
      </c>
      <c r="G84">
        <v>34.6</v>
      </c>
    </row>
    <row r="85" spans="1:7">
      <c r="A85">
        <v>17</v>
      </c>
      <c r="B85" t="s">
        <v>35</v>
      </c>
      <c r="C85" t="s">
        <v>8</v>
      </c>
      <c r="D85">
        <v>55.7</v>
      </c>
      <c r="F85">
        <v>63.9</v>
      </c>
      <c r="G85">
        <v>40.6</v>
      </c>
    </row>
    <row r="86" spans="1:7">
      <c r="A86">
        <v>17</v>
      </c>
      <c r="B86" t="s">
        <v>36</v>
      </c>
      <c r="C86" t="s">
        <v>9</v>
      </c>
      <c r="D86">
        <v>56.9</v>
      </c>
      <c r="F86">
        <v>62.3</v>
      </c>
      <c r="G86">
        <v>40.8</v>
      </c>
    </row>
    <row r="87" spans="1:7">
      <c r="A87">
        <v>17</v>
      </c>
      <c r="B87" t="s">
        <v>37</v>
      </c>
      <c r="C87" t="s">
        <v>10</v>
      </c>
      <c r="D87">
        <v>56.2</v>
      </c>
      <c r="F87">
        <v>60.8</v>
      </c>
      <c r="G87">
        <v>39.7</v>
      </c>
    </row>
    <row r="88" spans="1:7">
      <c r="A88">
        <v>18</v>
      </c>
      <c r="B88" t="s">
        <v>33</v>
      </c>
      <c r="C88" t="s">
        <v>6</v>
      </c>
      <c r="D88">
        <v>15.1</v>
      </c>
      <c r="F88">
        <v>59.4</v>
      </c>
      <c r="G88">
        <v>10.5</v>
      </c>
    </row>
    <row r="89" spans="1:7">
      <c r="A89">
        <v>18</v>
      </c>
      <c r="B89" t="s">
        <v>34</v>
      </c>
      <c r="C89" t="s">
        <v>7</v>
      </c>
      <c r="D89">
        <v>23.7</v>
      </c>
      <c r="F89">
        <v>61.7</v>
      </c>
      <c r="G89">
        <v>16.9</v>
      </c>
    </row>
    <row r="90" spans="1:7">
      <c r="A90">
        <v>18</v>
      </c>
      <c r="B90" t="s">
        <v>35</v>
      </c>
      <c r="C90" t="s">
        <v>8</v>
      </c>
      <c r="D90">
        <v>26.5</v>
      </c>
      <c r="F90">
        <v>64.8</v>
      </c>
      <c r="G90">
        <v>19.5</v>
      </c>
    </row>
    <row r="91" spans="1:7">
      <c r="A91">
        <v>18</v>
      </c>
      <c r="B91" t="s">
        <v>36</v>
      </c>
      <c r="C91" t="s">
        <v>9</v>
      </c>
      <c r="D91">
        <v>24.8</v>
      </c>
      <c r="F91">
        <v>62.3</v>
      </c>
      <c r="G91">
        <v>17.8</v>
      </c>
    </row>
    <row r="92" spans="1:7">
      <c r="A92">
        <v>18</v>
      </c>
      <c r="B92" t="s">
        <v>37</v>
      </c>
      <c r="C92" t="s">
        <v>10</v>
      </c>
      <c r="D92">
        <v>17.2</v>
      </c>
      <c r="F92">
        <v>60.7</v>
      </c>
      <c r="G92">
        <v>12.2</v>
      </c>
    </row>
    <row r="93" spans="1:7">
      <c r="A93">
        <v>19</v>
      </c>
      <c r="B93" t="s">
        <v>33</v>
      </c>
      <c r="C93" t="s">
        <v>6</v>
      </c>
      <c r="D93">
        <v>7.3</v>
      </c>
      <c r="F93">
        <v>61.7</v>
      </c>
      <c r="G93">
        <v>5.2</v>
      </c>
    </row>
    <row r="94" spans="1:7">
      <c r="A94">
        <v>19</v>
      </c>
      <c r="B94" t="s">
        <v>34</v>
      </c>
      <c r="C94" t="s">
        <v>7</v>
      </c>
      <c r="D94">
        <v>11.7</v>
      </c>
      <c r="F94">
        <v>60.5</v>
      </c>
      <c r="G94">
        <v>8.300000000000001</v>
      </c>
    </row>
    <row r="95" spans="1:7">
      <c r="A95">
        <v>19</v>
      </c>
      <c r="B95" t="s">
        <v>35</v>
      </c>
      <c r="C95" t="s">
        <v>8</v>
      </c>
      <c r="D95">
        <v>13.9</v>
      </c>
      <c r="F95">
        <v>64.90000000000001</v>
      </c>
      <c r="G95">
        <v>10.2</v>
      </c>
    </row>
    <row r="96" spans="1:7">
      <c r="A96">
        <v>19</v>
      </c>
      <c r="B96" t="s">
        <v>36</v>
      </c>
      <c r="C96" t="s">
        <v>9</v>
      </c>
      <c r="D96">
        <v>12.1</v>
      </c>
      <c r="F96">
        <v>64.90000000000001</v>
      </c>
      <c r="G96">
        <v>8.9</v>
      </c>
    </row>
    <row r="97" spans="1:7">
      <c r="A97">
        <v>19</v>
      </c>
      <c r="B97" t="s">
        <v>37</v>
      </c>
      <c r="C97" t="s">
        <v>10</v>
      </c>
      <c r="D97">
        <v>10.1</v>
      </c>
      <c r="F97">
        <v>67.90000000000001</v>
      </c>
      <c r="G97">
        <v>7.7</v>
      </c>
    </row>
    <row r="98" spans="1:7">
      <c r="A98">
        <v>20</v>
      </c>
      <c r="B98" t="s">
        <v>33</v>
      </c>
      <c r="C98" t="s">
        <v>6</v>
      </c>
      <c r="D98">
        <v>2.7</v>
      </c>
      <c r="F98">
        <v>49</v>
      </c>
      <c r="G98">
        <v>1.7</v>
      </c>
    </row>
    <row r="99" spans="1:7">
      <c r="A99">
        <v>20</v>
      </c>
      <c r="B99" t="s">
        <v>34</v>
      </c>
      <c r="C99" t="s">
        <v>7</v>
      </c>
      <c r="D99">
        <v>16.5</v>
      </c>
      <c r="F99">
        <v>54.8</v>
      </c>
      <c r="G99">
        <v>10.9</v>
      </c>
    </row>
    <row r="100" spans="1:7">
      <c r="A100">
        <v>20</v>
      </c>
      <c r="B100" t="s">
        <v>35</v>
      </c>
      <c r="C100" t="s">
        <v>8</v>
      </c>
      <c r="D100">
        <v>5</v>
      </c>
      <c r="F100">
        <v>51.7</v>
      </c>
      <c r="G100">
        <v>3.2</v>
      </c>
    </row>
    <row r="101" spans="1:7">
      <c r="A101">
        <v>20</v>
      </c>
      <c r="B101" t="s">
        <v>36</v>
      </c>
      <c r="C101" t="s">
        <v>9</v>
      </c>
      <c r="D101">
        <v>6.9</v>
      </c>
      <c r="F101">
        <v>49.2</v>
      </c>
      <c r="G101">
        <v>4.2</v>
      </c>
    </row>
    <row r="102" spans="1:7">
      <c r="A102">
        <v>20</v>
      </c>
      <c r="B102" t="s">
        <v>37</v>
      </c>
      <c r="C102" t="s">
        <v>10</v>
      </c>
      <c r="D102">
        <v>3.1</v>
      </c>
      <c r="F102">
        <v>50</v>
      </c>
      <c r="G102">
        <v>1.9</v>
      </c>
    </row>
    <row r="103" spans="1:7">
      <c r="A103">
        <v>21</v>
      </c>
      <c r="B103" t="s">
        <v>33</v>
      </c>
      <c r="C103" t="s">
        <v>6</v>
      </c>
      <c r="D103">
        <v>7.6</v>
      </c>
    </row>
    <row r="104" spans="1:7">
      <c r="A104">
        <v>21</v>
      </c>
      <c r="B104" t="s">
        <v>34</v>
      </c>
      <c r="C104" t="s">
        <v>7</v>
      </c>
      <c r="D104">
        <v>26.7</v>
      </c>
    </row>
    <row r="105" spans="1:7">
      <c r="A105">
        <v>21</v>
      </c>
      <c r="B105" t="s">
        <v>35</v>
      </c>
      <c r="C105" t="s">
        <v>8</v>
      </c>
      <c r="D105">
        <v>13.4</v>
      </c>
    </row>
    <row r="106" spans="1:7">
      <c r="A106">
        <v>21</v>
      </c>
      <c r="B106" t="s">
        <v>36</v>
      </c>
      <c r="C106" t="s">
        <v>9</v>
      </c>
      <c r="D106">
        <v>19.6</v>
      </c>
    </row>
    <row r="107" spans="1:7">
      <c r="A107">
        <v>21</v>
      </c>
      <c r="B107" t="s">
        <v>37</v>
      </c>
      <c r="C107" t="s">
        <v>10</v>
      </c>
      <c r="D107">
        <v>7.8</v>
      </c>
    </row>
    <row r="108" spans="1:7">
      <c r="A108">
        <v>22</v>
      </c>
      <c r="B108" t="s">
        <v>33</v>
      </c>
      <c r="C108" t="s">
        <v>6</v>
      </c>
      <c r="D108">
        <v>5.3</v>
      </c>
      <c r="F108">
        <v>65.59999999999999</v>
      </c>
      <c r="G108">
        <v>3.9</v>
      </c>
    </row>
    <row r="109" spans="1:7">
      <c r="A109">
        <v>22</v>
      </c>
      <c r="B109" t="s">
        <v>34</v>
      </c>
      <c r="C109" t="s">
        <v>7</v>
      </c>
      <c r="D109">
        <v>19.7</v>
      </c>
      <c r="F109">
        <v>65.8</v>
      </c>
      <c r="G109">
        <v>14.7</v>
      </c>
    </row>
    <row r="110" spans="1:7">
      <c r="A110">
        <v>22</v>
      </c>
      <c r="B110" t="s">
        <v>35</v>
      </c>
      <c r="C110" t="s">
        <v>8</v>
      </c>
      <c r="D110">
        <v>9.9</v>
      </c>
      <c r="F110">
        <v>70</v>
      </c>
      <c r="G110">
        <v>7.7</v>
      </c>
    </row>
    <row r="111" spans="1:7">
      <c r="A111">
        <v>22</v>
      </c>
      <c r="B111" t="s">
        <v>36</v>
      </c>
      <c r="C111" t="s">
        <v>9</v>
      </c>
      <c r="D111">
        <v>15.4</v>
      </c>
      <c r="F111">
        <v>72.3</v>
      </c>
      <c r="G111">
        <v>12.2</v>
      </c>
    </row>
    <row r="112" spans="1:7">
      <c r="A112">
        <v>22</v>
      </c>
      <c r="B112" t="s">
        <v>37</v>
      </c>
      <c r="C112" t="s">
        <v>10</v>
      </c>
      <c r="D112">
        <v>5.4</v>
      </c>
      <c r="F112">
        <v>65.5</v>
      </c>
      <c r="G112">
        <v>4</v>
      </c>
    </row>
    <row r="113" spans="1:7">
      <c r="A113">
        <v>23</v>
      </c>
      <c r="B113" t="s">
        <v>33</v>
      </c>
      <c r="C113" t="s">
        <v>6</v>
      </c>
      <c r="D113">
        <v>4.7</v>
      </c>
      <c r="F113">
        <v>54.6</v>
      </c>
      <c r="G113">
        <v>3.1</v>
      </c>
    </row>
    <row r="114" spans="1:7">
      <c r="A114">
        <v>23</v>
      </c>
      <c r="B114" t="s">
        <v>34</v>
      </c>
      <c r="C114" t="s">
        <v>7</v>
      </c>
      <c r="D114">
        <v>14.3</v>
      </c>
      <c r="F114">
        <v>51.8</v>
      </c>
      <c r="G114">
        <v>9.1</v>
      </c>
    </row>
    <row r="115" spans="1:7">
      <c r="A115">
        <v>23</v>
      </c>
      <c r="B115" t="s">
        <v>35</v>
      </c>
      <c r="C115" t="s">
        <v>8</v>
      </c>
      <c r="D115">
        <v>9.4</v>
      </c>
      <c r="F115">
        <v>55.3</v>
      </c>
      <c r="G115">
        <v>6.3</v>
      </c>
    </row>
    <row r="116" spans="1:7">
      <c r="A116">
        <v>23</v>
      </c>
      <c r="B116" t="s">
        <v>36</v>
      </c>
      <c r="C116" t="s">
        <v>9</v>
      </c>
      <c r="D116">
        <v>13.1</v>
      </c>
      <c r="F116">
        <v>53.3</v>
      </c>
      <c r="G116">
        <v>8.5</v>
      </c>
    </row>
    <row r="117" spans="1:7">
      <c r="A117">
        <v>23</v>
      </c>
      <c r="B117" t="s">
        <v>37</v>
      </c>
      <c r="C117" t="s">
        <v>10</v>
      </c>
      <c r="D117">
        <v>6</v>
      </c>
      <c r="F117">
        <v>52.7</v>
      </c>
      <c r="G117">
        <v>3.9</v>
      </c>
    </row>
    <row r="118" spans="1:7">
      <c r="A118">
        <v>24</v>
      </c>
      <c r="B118" t="s">
        <v>33</v>
      </c>
      <c r="C118" t="s">
        <v>6</v>
      </c>
      <c r="D118">
        <v>8.1</v>
      </c>
      <c r="F118">
        <v>76.2</v>
      </c>
      <c r="G118">
        <v>6.7</v>
      </c>
    </row>
    <row r="119" spans="1:7">
      <c r="A119">
        <v>24</v>
      </c>
      <c r="B119" t="s">
        <v>34</v>
      </c>
      <c r="C119" t="s">
        <v>7</v>
      </c>
      <c r="D119">
        <v>5.2</v>
      </c>
      <c r="F119">
        <v>68.8</v>
      </c>
      <c r="G119">
        <v>4</v>
      </c>
    </row>
    <row r="120" spans="1:7">
      <c r="A120">
        <v>24</v>
      </c>
      <c r="B120" t="s">
        <v>35</v>
      </c>
      <c r="C120" t="s">
        <v>8</v>
      </c>
      <c r="D120">
        <v>8.9</v>
      </c>
      <c r="F120">
        <v>74.09999999999999</v>
      </c>
      <c r="G120">
        <v>7.2</v>
      </c>
    </row>
    <row r="121" spans="1:7">
      <c r="A121">
        <v>24</v>
      </c>
      <c r="B121" t="s">
        <v>36</v>
      </c>
      <c r="C121" t="s">
        <v>9</v>
      </c>
      <c r="D121">
        <v>5.9</v>
      </c>
      <c r="F121">
        <v>72.2</v>
      </c>
      <c r="G121">
        <v>4.7</v>
      </c>
    </row>
    <row r="122" spans="1:7">
      <c r="A122">
        <v>24</v>
      </c>
      <c r="B122" t="s">
        <v>37</v>
      </c>
      <c r="C122" t="s">
        <v>10</v>
      </c>
      <c r="D122">
        <v>9.5</v>
      </c>
      <c r="F122">
        <v>77.59999999999999</v>
      </c>
      <c r="G122">
        <v>7.9</v>
      </c>
    </row>
    <row r="123" spans="1:7">
      <c r="A123">
        <v>25</v>
      </c>
      <c r="B123" t="s">
        <v>33</v>
      </c>
      <c r="C123" t="s">
        <v>6</v>
      </c>
      <c r="D123">
        <v>19.8</v>
      </c>
      <c r="F123">
        <v>74.3</v>
      </c>
      <c r="G123">
        <v>16</v>
      </c>
    </row>
    <row r="124" spans="1:7">
      <c r="A124">
        <v>25</v>
      </c>
      <c r="B124" t="s">
        <v>34</v>
      </c>
      <c r="C124" t="s">
        <v>7</v>
      </c>
      <c r="D124">
        <v>10.3</v>
      </c>
      <c r="F124">
        <v>69.8</v>
      </c>
      <c r="G124">
        <v>8</v>
      </c>
    </row>
    <row r="125" spans="1:7">
      <c r="A125">
        <v>25</v>
      </c>
      <c r="B125" t="s">
        <v>35</v>
      </c>
      <c r="C125" t="s">
        <v>8</v>
      </c>
      <c r="D125">
        <v>16.1</v>
      </c>
      <c r="F125">
        <v>71.3</v>
      </c>
      <c r="G125">
        <v>12.6</v>
      </c>
    </row>
    <row r="126" spans="1:7">
      <c r="A126">
        <v>25</v>
      </c>
      <c r="B126" t="s">
        <v>36</v>
      </c>
      <c r="C126" t="s">
        <v>9</v>
      </c>
      <c r="D126">
        <v>11.1</v>
      </c>
      <c r="F126">
        <v>73.5</v>
      </c>
      <c r="G126">
        <v>8.9</v>
      </c>
    </row>
    <row r="127" spans="1:7">
      <c r="A127">
        <v>25</v>
      </c>
      <c r="B127" t="s">
        <v>37</v>
      </c>
      <c r="C127" t="s">
        <v>10</v>
      </c>
      <c r="D127">
        <v>16.7</v>
      </c>
      <c r="F127">
        <v>77.5</v>
      </c>
      <c r="G127">
        <v>13.9</v>
      </c>
    </row>
    <row r="128" spans="1:7">
      <c r="A128">
        <v>26</v>
      </c>
      <c r="B128" t="s">
        <v>33</v>
      </c>
      <c r="C128" t="s">
        <v>6</v>
      </c>
      <c r="D128">
        <v>9.199999999999999</v>
      </c>
      <c r="F128">
        <v>72.40000000000001</v>
      </c>
      <c r="G128">
        <v>7.3</v>
      </c>
    </row>
    <row r="129" spans="1:7">
      <c r="A129">
        <v>26</v>
      </c>
      <c r="B129" t="s">
        <v>34</v>
      </c>
      <c r="C129" t="s">
        <v>7</v>
      </c>
      <c r="D129">
        <v>5.5</v>
      </c>
      <c r="F129">
        <v>68.59999999999999</v>
      </c>
      <c r="G129">
        <v>4.2</v>
      </c>
    </row>
    <row r="130" spans="1:7">
      <c r="A130">
        <v>26</v>
      </c>
      <c r="B130" t="s">
        <v>35</v>
      </c>
      <c r="C130" t="s">
        <v>8</v>
      </c>
      <c r="D130">
        <v>10.6</v>
      </c>
      <c r="F130">
        <v>72.90000000000001</v>
      </c>
      <c r="G130">
        <v>8.5</v>
      </c>
    </row>
    <row r="131" spans="1:7">
      <c r="A131">
        <v>26</v>
      </c>
      <c r="B131" t="s">
        <v>36</v>
      </c>
      <c r="C131" t="s">
        <v>9</v>
      </c>
      <c r="D131">
        <v>5.2</v>
      </c>
      <c r="F131">
        <v>81.3</v>
      </c>
      <c r="G131">
        <v>4.5</v>
      </c>
    </row>
    <row r="132" spans="1:7">
      <c r="A132">
        <v>26</v>
      </c>
      <c r="B132" t="s">
        <v>37</v>
      </c>
      <c r="C132" t="s">
        <v>10</v>
      </c>
      <c r="D132">
        <v>7.9</v>
      </c>
      <c r="F132">
        <v>77.2</v>
      </c>
      <c r="G132">
        <v>6.6</v>
      </c>
    </row>
    <row r="133" spans="1:7">
      <c r="A133">
        <v>27</v>
      </c>
      <c r="B133" t="s">
        <v>33</v>
      </c>
      <c r="C133" t="s">
        <v>6</v>
      </c>
      <c r="D133">
        <v>13</v>
      </c>
      <c r="F133">
        <v>84.7</v>
      </c>
      <c r="G133">
        <v>11.5</v>
      </c>
    </row>
    <row r="134" spans="1:7">
      <c r="A134">
        <v>27</v>
      </c>
      <c r="B134" t="s">
        <v>34</v>
      </c>
      <c r="C134" t="s">
        <v>7</v>
      </c>
      <c r="D134">
        <v>8.4</v>
      </c>
      <c r="F134">
        <v>78</v>
      </c>
      <c r="G134">
        <v>7</v>
      </c>
    </row>
    <row r="135" spans="1:7">
      <c r="A135">
        <v>27</v>
      </c>
      <c r="B135" t="s">
        <v>35</v>
      </c>
      <c r="C135" t="s">
        <v>8</v>
      </c>
      <c r="D135">
        <v>23.5</v>
      </c>
      <c r="F135">
        <v>83.90000000000001</v>
      </c>
      <c r="G135">
        <v>20.7</v>
      </c>
    </row>
    <row r="136" spans="1:7">
      <c r="A136">
        <v>27</v>
      </c>
      <c r="B136" t="s">
        <v>36</v>
      </c>
      <c r="C136" t="s">
        <v>9</v>
      </c>
      <c r="D136">
        <v>10.5</v>
      </c>
      <c r="F136">
        <v>86.5</v>
      </c>
      <c r="G136">
        <v>9.4</v>
      </c>
    </row>
    <row r="137" spans="1:7">
      <c r="A137">
        <v>27</v>
      </c>
      <c r="B137" t="s">
        <v>37</v>
      </c>
      <c r="C137" t="s">
        <v>10</v>
      </c>
      <c r="D137">
        <v>19.6</v>
      </c>
      <c r="F137">
        <v>87.8</v>
      </c>
      <c r="G137">
        <v>17.8</v>
      </c>
    </row>
    <row r="138" spans="1:7">
      <c r="A138">
        <v>28</v>
      </c>
      <c r="B138" t="s">
        <v>33</v>
      </c>
      <c r="C138" t="s">
        <v>6</v>
      </c>
      <c r="D138">
        <v>2.9</v>
      </c>
      <c r="F138">
        <v>62.7</v>
      </c>
      <c r="G138">
        <v>2.1</v>
      </c>
    </row>
    <row r="139" spans="1:7">
      <c r="A139">
        <v>28</v>
      </c>
      <c r="B139" t="s">
        <v>34</v>
      </c>
      <c r="C139" t="s">
        <v>7</v>
      </c>
      <c r="D139">
        <v>4.6</v>
      </c>
      <c r="F139">
        <v>51.3</v>
      </c>
      <c r="G139">
        <v>2.9</v>
      </c>
    </row>
    <row r="140" spans="1:7">
      <c r="A140">
        <v>28</v>
      </c>
      <c r="B140" t="s">
        <v>35</v>
      </c>
      <c r="C140" t="s">
        <v>8</v>
      </c>
      <c r="D140">
        <v>3.5</v>
      </c>
      <c r="F140">
        <v>66.7</v>
      </c>
      <c r="G140">
        <v>2.6</v>
      </c>
    </row>
    <row r="141" spans="1:7">
      <c r="A141">
        <v>28</v>
      </c>
      <c r="B141" t="s">
        <v>36</v>
      </c>
      <c r="C141" t="s">
        <v>9</v>
      </c>
      <c r="D141">
        <v>3.3</v>
      </c>
      <c r="F141">
        <v>66.7</v>
      </c>
      <c r="G141">
        <v>2.5</v>
      </c>
    </row>
    <row r="142" spans="1:7">
      <c r="A142">
        <v>28</v>
      </c>
      <c r="B142" t="s">
        <v>37</v>
      </c>
      <c r="C142" t="s">
        <v>10</v>
      </c>
      <c r="D142">
        <v>1.7</v>
      </c>
      <c r="F142">
        <v>63</v>
      </c>
      <c r="G142">
        <v>1.3</v>
      </c>
    </row>
    <row r="143" spans="1:7">
      <c r="A143">
        <v>29</v>
      </c>
      <c r="B143" t="s">
        <v>33</v>
      </c>
      <c r="C143" t="s">
        <v>6</v>
      </c>
      <c r="D143">
        <v>12.4</v>
      </c>
      <c r="F143">
        <v>80</v>
      </c>
      <c r="G143">
        <v>10.5</v>
      </c>
    </row>
    <row r="144" spans="1:7">
      <c r="A144">
        <v>29</v>
      </c>
      <c r="B144" t="s">
        <v>34</v>
      </c>
      <c r="C144" t="s">
        <v>7</v>
      </c>
      <c r="D144">
        <v>8.9</v>
      </c>
      <c r="F144">
        <v>62.3</v>
      </c>
      <c r="G144">
        <v>6.4</v>
      </c>
    </row>
    <row r="145" spans="1:7">
      <c r="A145">
        <v>29</v>
      </c>
      <c r="B145" t="s">
        <v>35</v>
      </c>
      <c r="C145" t="s">
        <v>8</v>
      </c>
      <c r="D145">
        <v>7.7</v>
      </c>
      <c r="F145">
        <v>77.40000000000001</v>
      </c>
      <c r="G145">
        <v>6.4</v>
      </c>
    </row>
    <row r="146" spans="1:7">
      <c r="A146">
        <v>29</v>
      </c>
      <c r="B146" t="s">
        <v>36</v>
      </c>
      <c r="C146" t="s">
        <v>9</v>
      </c>
      <c r="D146">
        <v>5.2</v>
      </c>
      <c r="F146">
        <v>81.3</v>
      </c>
      <c r="G146">
        <v>4.5</v>
      </c>
    </row>
    <row r="147" spans="1:7">
      <c r="A147">
        <v>29</v>
      </c>
      <c r="B147" t="s">
        <v>37</v>
      </c>
      <c r="C147" t="s">
        <v>10</v>
      </c>
      <c r="D147">
        <v>11.4</v>
      </c>
      <c r="F147">
        <v>80.8</v>
      </c>
      <c r="G147">
        <v>9.800000000000001</v>
      </c>
    </row>
    <row r="148" spans="1:7">
      <c r="A148">
        <v>30</v>
      </c>
      <c r="B148" t="s">
        <v>33</v>
      </c>
      <c r="C148" t="s">
        <v>6</v>
      </c>
      <c r="D148">
        <v>6.5</v>
      </c>
      <c r="F148">
        <v>82.7</v>
      </c>
      <c r="G148">
        <v>5.7</v>
      </c>
    </row>
    <row r="149" spans="1:7">
      <c r="A149">
        <v>30</v>
      </c>
      <c r="B149" t="s">
        <v>34</v>
      </c>
      <c r="C149" t="s">
        <v>7</v>
      </c>
      <c r="D149">
        <v>9.1</v>
      </c>
      <c r="F149">
        <v>75.2</v>
      </c>
      <c r="G149">
        <v>7.4</v>
      </c>
    </row>
    <row r="150" spans="1:7">
      <c r="A150">
        <v>30</v>
      </c>
      <c r="B150" t="s">
        <v>35</v>
      </c>
      <c r="C150" t="s">
        <v>8</v>
      </c>
      <c r="D150">
        <v>12.9</v>
      </c>
      <c r="F150">
        <v>82.7</v>
      </c>
      <c r="G150">
        <v>11.2</v>
      </c>
    </row>
    <row r="151" spans="1:7">
      <c r="A151">
        <v>30</v>
      </c>
      <c r="B151" t="s">
        <v>36</v>
      </c>
      <c r="C151" t="s">
        <v>9</v>
      </c>
      <c r="D151">
        <v>8.800000000000001</v>
      </c>
      <c r="F151">
        <v>84</v>
      </c>
      <c r="G151">
        <v>7.8</v>
      </c>
    </row>
    <row r="152" spans="1:7">
      <c r="A152">
        <v>30</v>
      </c>
      <c r="B152" t="s">
        <v>37</v>
      </c>
      <c r="C152" t="s">
        <v>10</v>
      </c>
      <c r="D152">
        <v>8.9</v>
      </c>
      <c r="F152">
        <v>84.09999999999999</v>
      </c>
      <c r="G152">
        <v>7.8</v>
      </c>
    </row>
    <row r="153" spans="1:7">
      <c r="A153">
        <v>31</v>
      </c>
      <c r="B153" t="s">
        <v>33</v>
      </c>
      <c r="C153" t="s">
        <v>6</v>
      </c>
      <c r="D153">
        <v>3.6</v>
      </c>
    </row>
    <row r="154" spans="1:7">
      <c r="A154">
        <v>31</v>
      </c>
      <c r="B154" t="s">
        <v>34</v>
      </c>
      <c r="C154" t="s">
        <v>7</v>
      </c>
      <c r="D154">
        <v>5</v>
      </c>
    </row>
    <row r="155" spans="1:7">
      <c r="A155">
        <v>31</v>
      </c>
      <c r="B155" t="s">
        <v>35</v>
      </c>
      <c r="C155" t="s">
        <v>8</v>
      </c>
      <c r="D155">
        <v>9.4</v>
      </c>
    </row>
    <row r="156" spans="1:7">
      <c r="A156">
        <v>31</v>
      </c>
      <c r="B156" t="s">
        <v>36</v>
      </c>
      <c r="C156" t="s">
        <v>9</v>
      </c>
      <c r="D156">
        <v>5.2</v>
      </c>
    </row>
    <row r="157" spans="1:7">
      <c r="A157">
        <v>31</v>
      </c>
      <c r="B157" t="s">
        <v>37</v>
      </c>
      <c r="C157" t="s">
        <v>10</v>
      </c>
      <c r="D157">
        <v>6.6</v>
      </c>
    </row>
    <row r="158" spans="1:7">
      <c r="A158">
        <v>32</v>
      </c>
      <c r="B158" t="s">
        <v>33</v>
      </c>
      <c r="C158" t="s">
        <v>6</v>
      </c>
      <c r="D158">
        <v>4.2</v>
      </c>
    </row>
    <row r="159" spans="1:7">
      <c r="A159">
        <v>32</v>
      </c>
      <c r="B159" t="s">
        <v>34</v>
      </c>
      <c r="C159" t="s">
        <v>7</v>
      </c>
      <c r="D159">
        <v>3.6</v>
      </c>
    </row>
    <row r="160" spans="1:7">
      <c r="A160">
        <v>32</v>
      </c>
      <c r="B160" t="s">
        <v>35</v>
      </c>
      <c r="C160" t="s">
        <v>8</v>
      </c>
      <c r="D160">
        <v>9.199999999999999</v>
      </c>
    </row>
    <row r="161" spans="1:7">
      <c r="A161">
        <v>32</v>
      </c>
      <c r="B161" t="s">
        <v>36</v>
      </c>
      <c r="C161" t="s">
        <v>9</v>
      </c>
      <c r="D161">
        <v>5.9</v>
      </c>
    </row>
    <row r="162" spans="1:7">
      <c r="A162">
        <v>32</v>
      </c>
      <c r="B162" t="s">
        <v>37</v>
      </c>
      <c r="C162" t="s">
        <v>10</v>
      </c>
      <c r="D162">
        <v>5.2</v>
      </c>
    </row>
    <row r="163" spans="1:7">
      <c r="A163">
        <v>33</v>
      </c>
      <c r="B163" t="s">
        <v>33</v>
      </c>
      <c r="C163" t="s">
        <v>6</v>
      </c>
      <c r="E163">
        <v>38</v>
      </c>
      <c r="F163">
        <v>56.5</v>
      </c>
      <c r="G163">
        <v>25.6</v>
      </c>
    </row>
    <row r="164" spans="1:7">
      <c r="A164">
        <v>33</v>
      </c>
      <c r="B164" t="s">
        <v>34</v>
      </c>
      <c r="C164" t="s">
        <v>7</v>
      </c>
      <c r="E164">
        <v>39.6</v>
      </c>
      <c r="F164">
        <v>56.4</v>
      </c>
      <c r="G164">
        <v>26.7</v>
      </c>
    </row>
    <row r="165" spans="1:7">
      <c r="A165">
        <v>33</v>
      </c>
      <c r="B165" t="s">
        <v>35</v>
      </c>
      <c r="C165" t="s">
        <v>8</v>
      </c>
      <c r="E165">
        <v>43.8</v>
      </c>
      <c r="F165">
        <v>50.3</v>
      </c>
      <c r="G165">
        <v>27.5</v>
      </c>
    </row>
    <row r="166" spans="1:7">
      <c r="A166">
        <v>33</v>
      </c>
      <c r="B166" t="s">
        <v>36</v>
      </c>
      <c r="C166" t="s">
        <v>9</v>
      </c>
      <c r="E166">
        <v>42.5</v>
      </c>
      <c r="F166">
        <v>55.6</v>
      </c>
      <c r="G166">
        <v>28.3</v>
      </c>
    </row>
    <row r="167" spans="1:7">
      <c r="A167">
        <v>33</v>
      </c>
      <c r="B167" t="s">
        <v>37</v>
      </c>
      <c r="C167" t="s">
        <v>10</v>
      </c>
      <c r="E167">
        <v>43</v>
      </c>
      <c r="F167">
        <v>56.6</v>
      </c>
      <c r="G167">
        <v>29</v>
      </c>
    </row>
    <row r="168" spans="1:7">
      <c r="A168">
        <v>34</v>
      </c>
      <c r="B168" t="s">
        <v>33</v>
      </c>
      <c r="C168" t="s">
        <v>6</v>
      </c>
      <c r="E168">
        <v>29.9</v>
      </c>
    </row>
    <row r="169" spans="1:7">
      <c r="A169">
        <v>34</v>
      </c>
      <c r="B169" t="s">
        <v>34</v>
      </c>
      <c r="C169" t="s">
        <v>7</v>
      </c>
      <c r="E169">
        <v>23.6</v>
      </c>
    </row>
    <row r="170" spans="1:7">
      <c r="A170">
        <v>34</v>
      </c>
      <c r="B170" t="s">
        <v>35</v>
      </c>
      <c r="C170" t="s">
        <v>8</v>
      </c>
      <c r="E170">
        <v>30.9</v>
      </c>
    </row>
    <row r="171" spans="1:7">
      <c r="A171">
        <v>34</v>
      </c>
      <c r="B171" t="s">
        <v>36</v>
      </c>
      <c r="C171" t="s">
        <v>9</v>
      </c>
      <c r="E171">
        <v>30.7</v>
      </c>
    </row>
    <row r="172" spans="1:7">
      <c r="A172">
        <v>34</v>
      </c>
      <c r="B172" t="s">
        <v>37</v>
      </c>
      <c r="C172" t="s">
        <v>10</v>
      </c>
      <c r="E172">
        <v>33.5</v>
      </c>
    </row>
    <row r="173" spans="1:7">
      <c r="A173">
        <v>35</v>
      </c>
      <c r="B173" t="s">
        <v>33</v>
      </c>
      <c r="C173" t="s">
        <v>6</v>
      </c>
      <c r="E173">
        <v>1.8</v>
      </c>
    </row>
    <row r="174" spans="1:7">
      <c r="A174">
        <v>35</v>
      </c>
      <c r="B174" t="s">
        <v>34</v>
      </c>
      <c r="C174" t="s">
        <v>7</v>
      </c>
      <c r="E174">
        <v>4.3</v>
      </c>
    </row>
    <row r="175" spans="1:7">
      <c r="A175">
        <v>35</v>
      </c>
      <c r="B175" t="s">
        <v>35</v>
      </c>
      <c r="C175" t="s">
        <v>8</v>
      </c>
      <c r="E175">
        <v>4.2</v>
      </c>
    </row>
    <row r="176" spans="1:7">
      <c r="A176">
        <v>35</v>
      </c>
      <c r="B176" t="s">
        <v>36</v>
      </c>
      <c r="C176" t="s">
        <v>9</v>
      </c>
      <c r="E176">
        <v>1</v>
      </c>
    </row>
    <row r="177" spans="1:5">
      <c r="A177">
        <v>35</v>
      </c>
      <c r="B177" t="s">
        <v>37</v>
      </c>
      <c r="C177" t="s">
        <v>10</v>
      </c>
      <c r="E177">
        <v>2.7</v>
      </c>
    </row>
    <row r="178" spans="1:5">
      <c r="A178">
        <v>36</v>
      </c>
      <c r="B178" t="s">
        <v>33</v>
      </c>
      <c r="C178" t="s">
        <v>6</v>
      </c>
      <c r="E178">
        <v>15.8</v>
      </c>
    </row>
    <row r="179" spans="1:5">
      <c r="A179">
        <v>36</v>
      </c>
      <c r="B179" t="s">
        <v>34</v>
      </c>
      <c r="C179" t="s">
        <v>7</v>
      </c>
      <c r="E179">
        <v>20</v>
      </c>
    </row>
    <row r="180" spans="1:5">
      <c r="A180">
        <v>36</v>
      </c>
      <c r="B180" t="s">
        <v>35</v>
      </c>
      <c r="C180" t="s">
        <v>8</v>
      </c>
      <c r="E180">
        <v>23.5</v>
      </c>
    </row>
    <row r="181" spans="1:5">
      <c r="A181">
        <v>36</v>
      </c>
      <c r="B181" t="s">
        <v>36</v>
      </c>
      <c r="C181" t="s">
        <v>9</v>
      </c>
      <c r="E181">
        <v>23.2</v>
      </c>
    </row>
    <row r="182" spans="1:5">
      <c r="A182">
        <v>36</v>
      </c>
      <c r="B182" t="s">
        <v>37</v>
      </c>
      <c r="C182" t="s">
        <v>10</v>
      </c>
      <c r="E182">
        <v>19.6</v>
      </c>
    </row>
    <row r="183" spans="1:5">
      <c r="A183">
        <v>37</v>
      </c>
      <c r="B183" t="s">
        <v>33</v>
      </c>
      <c r="C183" t="s">
        <v>6</v>
      </c>
      <c r="E183">
        <v>3.8</v>
      </c>
    </row>
    <row r="184" spans="1:5">
      <c r="A184">
        <v>37</v>
      </c>
      <c r="B184" t="s">
        <v>34</v>
      </c>
      <c r="C184" t="s">
        <v>7</v>
      </c>
      <c r="E184">
        <v>10.5</v>
      </c>
    </row>
    <row r="185" spans="1:5">
      <c r="A185">
        <v>37</v>
      </c>
      <c r="B185" t="s">
        <v>35</v>
      </c>
      <c r="C185" t="s">
        <v>8</v>
      </c>
      <c r="E185">
        <v>9.199999999999999</v>
      </c>
    </row>
    <row r="186" spans="1:5">
      <c r="A186">
        <v>37</v>
      </c>
      <c r="B186" t="s">
        <v>36</v>
      </c>
      <c r="C186" t="s">
        <v>9</v>
      </c>
      <c r="E186">
        <v>10.5</v>
      </c>
    </row>
    <row r="187" spans="1:5">
      <c r="A187">
        <v>37</v>
      </c>
      <c r="B187" t="s">
        <v>37</v>
      </c>
      <c r="C187" t="s">
        <v>10</v>
      </c>
      <c r="E187">
        <v>3.1</v>
      </c>
    </row>
    <row r="188" spans="1:5">
      <c r="A188">
        <v>38</v>
      </c>
      <c r="B188" t="s">
        <v>33</v>
      </c>
      <c r="C188" t="s">
        <v>6</v>
      </c>
      <c r="E188">
        <v>6.2</v>
      </c>
    </row>
    <row r="189" spans="1:5">
      <c r="A189">
        <v>38</v>
      </c>
      <c r="B189" t="s">
        <v>34</v>
      </c>
      <c r="C189" t="s">
        <v>7</v>
      </c>
      <c r="E189">
        <v>2.6</v>
      </c>
    </row>
    <row r="190" spans="1:5">
      <c r="A190">
        <v>38</v>
      </c>
      <c r="B190" t="s">
        <v>35</v>
      </c>
      <c r="C190" t="s">
        <v>8</v>
      </c>
      <c r="E190">
        <v>10.1</v>
      </c>
    </row>
    <row r="191" spans="1:5">
      <c r="A191">
        <v>38</v>
      </c>
      <c r="B191" t="s">
        <v>36</v>
      </c>
      <c r="C191" t="s">
        <v>9</v>
      </c>
      <c r="E191">
        <v>8.199999999999999</v>
      </c>
    </row>
    <row r="192" spans="1:5">
      <c r="A192">
        <v>38</v>
      </c>
      <c r="B192" t="s">
        <v>37</v>
      </c>
      <c r="C192" t="s">
        <v>10</v>
      </c>
      <c r="E192">
        <v>7.4</v>
      </c>
    </row>
    <row r="193" spans="1:7">
      <c r="A193">
        <v>39</v>
      </c>
      <c r="B193" t="s">
        <v>33</v>
      </c>
      <c r="C193" t="s">
        <v>6</v>
      </c>
      <c r="E193">
        <v>18.4</v>
      </c>
      <c r="F193">
        <v>56</v>
      </c>
      <c r="G193">
        <v>12.3</v>
      </c>
    </row>
    <row r="194" spans="1:7">
      <c r="A194">
        <v>39</v>
      </c>
      <c r="B194" t="s">
        <v>34</v>
      </c>
      <c r="C194" t="s">
        <v>7</v>
      </c>
      <c r="E194">
        <v>21</v>
      </c>
      <c r="F194">
        <v>59.5</v>
      </c>
      <c r="G194">
        <v>14.6</v>
      </c>
    </row>
    <row r="195" spans="1:7">
      <c r="A195">
        <v>39</v>
      </c>
      <c r="B195" t="s">
        <v>35</v>
      </c>
      <c r="C195" t="s">
        <v>8</v>
      </c>
      <c r="E195">
        <v>24.5</v>
      </c>
      <c r="F195">
        <v>48.8</v>
      </c>
      <c r="G195">
        <v>15.1</v>
      </c>
    </row>
    <row r="196" spans="1:7">
      <c r="A196">
        <v>39</v>
      </c>
      <c r="B196" t="s">
        <v>36</v>
      </c>
      <c r="C196" t="s">
        <v>9</v>
      </c>
      <c r="E196">
        <v>30.4</v>
      </c>
      <c r="F196">
        <v>55.9</v>
      </c>
      <c r="G196">
        <v>20.3</v>
      </c>
    </row>
    <row r="197" spans="1:7">
      <c r="A197">
        <v>39</v>
      </c>
      <c r="B197" t="s">
        <v>37</v>
      </c>
      <c r="C197" t="s">
        <v>10</v>
      </c>
      <c r="E197">
        <v>21.7</v>
      </c>
      <c r="F197">
        <v>53.6</v>
      </c>
      <c r="G197">
        <v>14.1</v>
      </c>
    </row>
    <row r="198" spans="1:7">
      <c r="A198">
        <v>40</v>
      </c>
      <c r="B198" t="s">
        <v>33</v>
      </c>
      <c r="C198" t="s">
        <v>6</v>
      </c>
      <c r="E198">
        <v>5.8</v>
      </c>
    </row>
    <row r="199" spans="1:7">
      <c r="A199">
        <v>40</v>
      </c>
      <c r="B199" t="s">
        <v>34</v>
      </c>
      <c r="C199" t="s">
        <v>7</v>
      </c>
      <c r="E199">
        <v>6.7</v>
      </c>
    </row>
    <row r="200" spans="1:7">
      <c r="A200">
        <v>40</v>
      </c>
      <c r="B200" t="s">
        <v>35</v>
      </c>
      <c r="C200" t="s">
        <v>8</v>
      </c>
      <c r="E200">
        <v>11.4</v>
      </c>
    </row>
    <row r="201" spans="1:7">
      <c r="A201">
        <v>40</v>
      </c>
      <c r="B201" t="s">
        <v>36</v>
      </c>
      <c r="C201" t="s">
        <v>9</v>
      </c>
      <c r="E201">
        <v>8.5</v>
      </c>
    </row>
    <row r="202" spans="1:7">
      <c r="A202">
        <v>40</v>
      </c>
      <c r="B202" t="s">
        <v>37</v>
      </c>
      <c r="C202" t="s">
        <v>10</v>
      </c>
      <c r="E202">
        <v>8.300000000000001</v>
      </c>
    </row>
    <row r="203" spans="1:7">
      <c r="A203">
        <v>41</v>
      </c>
      <c r="B203" t="s">
        <v>33</v>
      </c>
      <c r="C203" t="s">
        <v>6</v>
      </c>
      <c r="E203">
        <v>10</v>
      </c>
    </row>
    <row r="204" spans="1:7">
      <c r="A204">
        <v>41</v>
      </c>
      <c r="B204" t="s">
        <v>34</v>
      </c>
      <c r="C204" t="s">
        <v>7</v>
      </c>
      <c r="E204">
        <v>13.6</v>
      </c>
    </row>
    <row r="205" spans="1:7">
      <c r="A205">
        <v>41</v>
      </c>
      <c r="B205" t="s">
        <v>35</v>
      </c>
      <c r="C205" t="s">
        <v>8</v>
      </c>
      <c r="E205">
        <v>13.9</v>
      </c>
    </row>
    <row r="206" spans="1:7">
      <c r="A206">
        <v>41</v>
      </c>
      <c r="B206" t="s">
        <v>36</v>
      </c>
      <c r="C206" t="s">
        <v>9</v>
      </c>
      <c r="E206">
        <v>18.3</v>
      </c>
    </row>
    <row r="207" spans="1:7">
      <c r="A207">
        <v>41</v>
      </c>
      <c r="B207" t="s">
        <v>37</v>
      </c>
      <c r="C207" t="s">
        <v>10</v>
      </c>
      <c r="E207">
        <v>12.4</v>
      </c>
    </row>
    <row r="208" spans="1:7">
      <c r="A208">
        <v>42</v>
      </c>
      <c r="B208" t="s">
        <v>33</v>
      </c>
      <c r="C208" t="s">
        <v>6</v>
      </c>
      <c r="E208">
        <v>9.4</v>
      </c>
    </row>
    <row r="209" spans="1:7">
      <c r="A209">
        <v>42</v>
      </c>
      <c r="B209" t="s">
        <v>34</v>
      </c>
      <c r="C209" t="s">
        <v>7</v>
      </c>
      <c r="E209">
        <v>9.6</v>
      </c>
    </row>
    <row r="210" spans="1:7">
      <c r="A210">
        <v>42</v>
      </c>
      <c r="B210" t="s">
        <v>35</v>
      </c>
      <c r="C210" t="s">
        <v>8</v>
      </c>
      <c r="E210">
        <v>13.9</v>
      </c>
    </row>
    <row r="211" spans="1:7">
      <c r="A211">
        <v>42</v>
      </c>
      <c r="B211" t="s">
        <v>36</v>
      </c>
      <c r="C211" t="s">
        <v>9</v>
      </c>
      <c r="E211">
        <v>15.7</v>
      </c>
    </row>
    <row r="212" spans="1:7">
      <c r="A212">
        <v>42</v>
      </c>
      <c r="B212" t="s">
        <v>37</v>
      </c>
      <c r="C212" t="s">
        <v>10</v>
      </c>
      <c r="E212">
        <v>12.4</v>
      </c>
    </row>
    <row r="213" spans="1:7">
      <c r="A213">
        <v>43</v>
      </c>
      <c r="B213" t="s">
        <v>33</v>
      </c>
      <c r="C213" t="s">
        <v>6</v>
      </c>
      <c r="E213">
        <v>59.8</v>
      </c>
      <c r="F213">
        <v>61.7</v>
      </c>
      <c r="G213">
        <v>42.6</v>
      </c>
    </row>
    <row r="214" spans="1:7">
      <c r="A214">
        <v>43</v>
      </c>
      <c r="B214" t="s">
        <v>34</v>
      </c>
      <c r="C214" t="s">
        <v>7</v>
      </c>
      <c r="E214">
        <v>51.7</v>
      </c>
      <c r="F214">
        <v>62.3</v>
      </c>
      <c r="G214">
        <v>37.1</v>
      </c>
    </row>
    <row r="215" spans="1:7">
      <c r="A215">
        <v>43</v>
      </c>
      <c r="B215" t="s">
        <v>35</v>
      </c>
      <c r="C215" t="s">
        <v>8</v>
      </c>
      <c r="E215">
        <v>59.4</v>
      </c>
      <c r="F215">
        <v>59.3</v>
      </c>
      <c r="G215">
        <v>41.3</v>
      </c>
    </row>
    <row r="216" spans="1:7">
      <c r="A216">
        <v>43</v>
      </c>
      <c r="B216" t="s">
        <v>36</v>
      </c>
      <c r="C216" t="s">
        <v>9</v>
      </c>
      <c r="E216">
        <v>52.9</v>
      </c>
      <c r="F216">
        <v>60.1</v>
      </c>
      <c r="G216">
        <v>37.1</v>
      </c>
    </row>
    <row r="217" spans="1:7">
      <c r="A217">
        <v>43</v>
      </c>
      <c r="B217" t="s">
        <v>37</v>
      </c>
      <c r="C217" t="s">
        <v>10</v>
      </c>
      <c r="E217">
        <v>58.9</v>
      </c>
      <c r="F217">
        <v>62.6</v>
      </c>
      <c r="G217">
        <v>42.4</v>
      </c>
    </row>
    <row r="218" spans="1:7">
      <c r="A218">
        <v>44</v>
      </c>
      <c r="B218" t="s">
        <v>33</v>
      </c>
      <c r="C218" t="s">
        <v>6</v>
      </c>
      <c r="E218">
        <v>42.1</v>
      </c>
      <c r="F218">
        <v>50.1</v>
      </c>
      <c r="G218">
        <v>26.4</v>
      </c>
    </row>
    <row r="219" spans="1:7">
      <c r="A219">
        <v>44</v>
      </c>
      <c r="B219" t="s">
        <v>34</v>
      </c>
      <c r="C219" t="s">
        <v>7</v>
      </c>
      <c r="E219">
        <v>45</v>
      </c>
      <c r="F219">
        <v>52.7</v>
      </c>
      <c r="G219">
        <v>29.1</v>
      </c>
    </row>
    <row r="220" spans="1:7">
      <c r="A220">
        <v>44</v>
      </c>
      <c r="B220" t="s">
        <v>35</v>
      </c>
      <c r="C220" t="s">
        <v>8</v>
      </c>
      <c r="E220">
        <v>39.4</v>
      </c>
      <c r="F220">
        <v>49.1</v>
      </c>
      <c r="G220">
        <v>24.3</v>
      </c>
    </row>
    <row r="221" spans="1:7">
      <c r="A221">
        <v>44</v>
      </c>
      <c r="B221" t="s">
        <v>36</v>
      </c>
      <c r="C221" t="s">
        <v>9</v>
      </c>
      <c r="E221">
        <v>36.9</v>
      </c>
      <c r="F221">
        <v>47.5</v>
      </c>
      <c r="G221">
        <v>22.4</v>
      </c>
    </row>
    <row r="222" spans="1:7">
      <c r="A222">
        <v>44</v>
      </c>
      <c r="B222" t="s">
        <v>37</v>
      </c>
      <c r="C222" t="s">
        <v>10</v>
      </c>
      <c r="E222">
        <v>41.5</v>
      </c>
      <c r="F222">
        <v>50.3</v>
      </c>
      <c r="G222">
        <v>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dimension ref="A1:D46"/>
  <sheetViews>
    <sheetView workbookViewId="0">
      <pane ySplit="2" topLeftCell="A3" activePane="bottomLeft" state="frozen"/>
      <selection pane="bottomLeft"/>
    </sheetView>
  </sheetViews>
  <sheetFormatPr defaultRowHeight="15"/>
  <cols>
    <col min="1" max="1" width="10.7109375" customWidth="1"/>
    <col min="2" max="2" width="42.7109375" customWidth="1"/>
    <col min="3" max="3" width="24.7109375" customWidth="1"/>
    <col min="4" max="4" width="10.7109375" customWidth="1"/>
  </cols>
  <sheetData>
    <row r="1" spans="1:4">
      <c r="A1" s="20" t="s">
        <v>38</v>
      </c>
    </row>
    <row r="2" spans="1:4">
      <c r="A2" t="s">
        <v>28</v>
      </c>
      <c r="B2" t="s">
        <v>19</v>
      </c>
      <c r="C2" t="s">
        <v>20</v>
      </c>
      <c r="D2" t="s">
        <v>39</v>
      </c>
    </row>
    <row r="3" spans="1:4">
      <c r="A3">
        <v>1</v>
      </c>
      <c r="B3" t="s">
        <v>40</v>
      </c>
      <c r="C3" t="s">
        <v>17</v>
      </c>
    </row>
    <row r="4" spans="1:4">
      <c r="A4">
        <v>2</v>
      </c>
      <c r="B4" t="s">
        <v>41</v>
      </c>
      <c r="C4" t="s">
        <v>12</v>
      </c>
    </row>
    <row r="5" spans="1:4">
      <c r="A5">
        <v>3</v>
      </c>
      <c r="B5" t="s">
        <v>42</v>
      </c>
      <c r="C5" t="s">
        <v>12</v>
      </c>
      <c r="D5">
        <v>2</v>
      </c>
    </row>
    <row r="6" spans="1:4">
      <c r="A6">
        <v>4</v>
      </c>
      <c r="B6" t="s">
        <v>43</v>
      </c>
      <c r="C6" t="s">
        <v>12</v>
      </c>
      <c r="D6">
        <v>2</v>
      </c>
    </row>
    <row r="7" spans="1:4">
      <c r="A7">
        <v>5</v>
      </c>
      <c r="B7" t="s">
        <v>44</v>
      </c>
      <c r="C7" t="s">
        <v>12</v>
      </c>
    </row>
    <row r="8" spans="1:4">
      <c r="A8">
        <v>6</v>
      </c>
      <c r="B8" t="s">
        <v>42</v>
      </c>
      <c r="C8" t="s">
        <v>12</v>
      </c>
      <c r="D8">
        <v>5</v>
      </c>
    </row>
    <row r="9" spans="1:4">
      <c r="A9">
        <v>7</v>
      </c>
      <c r="B9" t="s">
        <v>43</v>
      </c>
      <c r="C9" t="s">
        <v>12</v>
      </c>
      <c r="D9">
        <v>5</v>
      </c>
    </row>
    <row r="10" spans="1:4">
      <c r="A10">
        <v>8</v>
      </c>
      <c r="B10" t="s">
        <v>45</v>
      </c>
      <c r="C10" t="s">
        <v>12</v>
      </c>
    </row>
    <row r="11" spans="1:4">
      <c r="A11">
        <v>9</v>
      </c>
      <c r="B11" t="s">
        <v>42</v>
      </c>
      <c r="C11" t="s">
        <v>12</v>
      </c>
      <c r="D11">
        <v>8</v>
      </c>
    </row>
    <row r="12" spans="1:4">
      <c r="A12">
        <v>10</v>
      </c>
      <c r="B12" t="s">
        <v>43</v>
      </c>
      <c r="C12" t="s">
        <v>12</v>
      </c>
      <c r="D12">
        <v>8</v>
      </c>
    </row>
    <row r="13" spans="1:4">
      <c r="A13">
        <v>11</v>
      </c>
      <c r="B13" t="s">
        <v>46</v>
      </c>
      <c r="C13" t="s">
        <v>12</v>
      </c>
    </row>
    <row r="14" spans="1:4">
      <c r="A14">
        <v>12</v>
      </c>
      <c r="B14" t="s">
        <v>42</v>
      </c>
      <c r="C14" t="s">
        <v>12</v>
      </c>
      <c r="D14">
        <v>11</v>
      </c>
    </row>
    <row r="15" spans="1:4">
      <c r="A15">
        <v>13</v>
      </c>
      <c r="B15" t="s">
        <v>43</v>
      </c>
      <c r="C15" t="s">
        <v>12</v>
      </c>
      <c r="D15">
        <v>11</v>
      </c>
    </row>
    <row r="16" spans="1:4">
      <c r="A16">
        <v>14</v>
      </c>
      <c r="B16" t="s">
        <v>47</v>
      </c>
      <c r="C16" t="s">
        <v>13</v>
      </c>
    </row>
    <row r="17" spans="1:4">
      <c r="A17">
        <v>15</v>
      </c>
      <c r="B17" t="s">
        <v>48</v>
      </c>
      <c r="C17" t="s">
        <v>13</v>
      </c>
    </row>
    <row r="18" spans="1:4">
      <c r="A18">
        <v>16</v>
      </c>
      <c r="B18" t="s">
        <v>49</v>
      </c>
      <c r="C18" t="s">
        <v>13</v>
      </c>
    </row>
    <row r="19" spans="1:4">
      <c r="A19">
        <v>17</v>
      </c>
      <c r="B19" t="s">
        <v>50</v>
      </c>
      <c r="C19" t="s">
        <v>13</v>
      </c>
    </row>
    <row r="20" spans="1:4">
      <c r="A20">
        <v>18</v>
      </c>
      <c r="B20" t="s">
        <v>51</v>
      </c>
      <c r="C20" t="s">
        <v>13</v>
      </c>
    </row>
    <row r="21" spans="1:4">
      <c r="A21">
        <v>19</v>
      </c>
      <c r="B21" t="s">
        <v>52</v>
      </c>
      <c r="C21" t="s">
        <v>13</v>
      </c>
    </row>
    <row r="22" spans="1:4">
      <c r="A22">
        <v>20</v>
      </c>
      <c r="B22" t="s">
        <v>53</v>
      </c>
      <c r="C22" t="s">
        <v>13</v>
      </c>
    </row>
    <row r="23" spans="1:4">
      <c r="A23">
        <v>21</v>
      </c>
      <c r="B23" t="s">
        <v>14</v>
      </c>
      <c r="C23" t="s">
        <v>14</v>
      </c>
    </row>
    <row r="24" spans="1:4">
      <c r="A24">
        <v>22</v>
      </c>
      <c r="B24" t="s">
        <v>54</v>
      </c>
      <c r="C24" t="s">
        <v>14</v>
      </c>
      <c r="D24">
        <v>21</v>
      </c>
    </row>
    <row r="25" spans="1:4">
      <c r="A25">
        <v>23</v>
      </c>
      <c r="B25" t="s">
        <v>55</v>
      </c>
      <c r="C25" t="s">
        <v>14</v>
      </c>
      <c r="D25">
        <v>21</v>
      </c>
    </row>
    <row r="26" spans="1:4">
      <c r="A26">
        <v>24</v>
      </c>
      <c r="B26" t="s">
        <v>56</v>
      </c>
      <c r="C26" t="s">
        <v>15</v>
      </c>
    </row>
    <row r="27" spans="1:4">
      <c r="A27">
        <v>25</v>
      </c>
      <c r="B27" t="s">
        <v>57</v>
      </c>
      <c r="C27" t="s">
        <v>15</v>
      </c>
    </row>
    <row r="28" spans="1:4">
      <c r="A28">
        <v>26</v>
      </c>
      <c r="B28" t="s">
        <v>58</v>
      </c>
      <c r="C28" t="s">
        <v>15</v>
      </c>
    </row>
    <row r="29" spans="1:4">
      <c r="A29">
        <v>27</v>
      </c>
      <c r="B29" t="s">
        <v>59</v>
      </c>
      <c r="C29" t="s">
        <v>15</v>
      </c>
    </row>
    <row r="30" spans="1:4">
      <c r="A30">
        <v>28</v>
      </c>
      <c r="B30" t="s">
        <v>60</v>
      </c>
      <c r="C30" t="s">
        <v>15</v>
      </c>
    </row>
    <row r="31" spans="1:4">
      <c r="A31">
        <v>29</v>
      </c>
      <c r="B31" t="s">
        <v>61</v>
      </c>
      <c r="C31" t="s">
        <v>16</v>
      </c>
    </row>
    <row r="32" spans="1:4">
      <c r="A32">
        <v>30</v>
      </c>
      <c r="B32" t="s">
        <v>62</v>
      </c>
      <c r="C32" t="s">
        <v>17</v>
      </c>
    </row>
    <row r="33" spans="1:4">
      <c r="A33">
        <v>31</v>
      </c>
      <c r="B33" t="s">
        <v>42</v>
      </c>
      <c r="C33" t="s">
        <v>17</v>
      </c>
      <c r="D33">
        <v>30</v>
      </c>
    </row>
    <row r="34" spans="1:4">
      <c r="A34">
        <v>32</v>
      </c>
      <c r="B34" t="s">
        <v>43</v>
      </c>
      <c r="C34" t="s">
        <v>17</v>
      </c>
      <c r="D34">
        <v>30</v>
      </c>
    </row>
    <row r="35" spans="1:4">
      <c r="A35">
        <v>33</v>
      </c>
      <c r="B35" t="s">
        <v>63</v>
      </c>
      <c r="C35" t="s">
        <v>16</v>
      </c>
    </row>
    <row r="36" spans="1:4">
      <c r="A36">
        <v>34</v>
      </c>
      <c r="B36" t="s">
        <v>64</v>
      </c>
      <c r="C36" t="s">
        <v>16</v>
      </c>
      <c r="D36">
        <v>33</v>
      </c>
    </row>
    <row r="37" spans="1:4">
      <c r="A37">
        <v>35</v>
      </c>
      <c r="B37" t="s">
        <v>65</v>
      </c>
      <c r="C37" t="s">
        <v>16</v>
      </c>
      <c r="D37">
        <v>33</v>
      </c>
    </row>
    <row r="38" spans="1:4">
      <c r="A38">
        <v>36</v>
      </c>
      <c r="B38" t="s">
        <v>66</v>
      </c>
      <c r="C38" t="s">
        <v>16</v>
      </c>
      <c r="D38">
        <v>33</v>
      </c>
    </row>
    <row r="39" spans="1:4">
      <c r="A39">
        <v>37</v>
      </c>
      <c r="B39" t="s">
        <v>67</v>
      </c>
      <c r="C39" t="s">
        <v>16</v>
      </c>
      <c r="D39">
        <v>33</v>
      </c>
    </row>
    <row r="40" spans="1:4">
      <c r="A40">
        <v>38</v>
      </c>
      <c r="B40" t="s">
        <v>68</v>
      </c>
      <c r="C40" t="s">
        <v>16</v>
      </c>
      <c r="D40">
        <v>33</v>
      </c>
    </row>
    <row r="41" spans="1:4">
      <c r="A41">
        <v>39</v>
      </c>
      <c r="B41" t="s">
        <v>69</v>
      </c>
      <c r="C41" t="s">
        <v>16</v>
      </c>
    </row>
    <row r="42" spans="1:4">
      <c r="A42">
        <v>40</v>
      </c>
      <c r="B42" t="s">
        <v>70</v>
      </c>
      <c r="C42" t="s">
        <v>16</v>
      </c>
      <c r="D42">
        <v>39</v>
      </c>
    </row>
    <row r="43" spans="1:4">
      <c r="A43">
        <v>41</v>
      </c>
      <c r="B43" t="s">
        <v>71</v>
      </c>
      <c r="C43" t="s">
        <v>16</v>
      </c>
      <c r="D43">
        <v>39</v>
      </c>
    </row>
    <row r="44" spans="1:4">
      <c r="A44">
        <v>42</v>
      </c>
      <c r="B44" t="s">
        <v>72</v>
      </c>
      <c r="C44" t="s">
        <v>16</v>
      </c>
      <c r="D44">
        <v>39</v>
      </c>
    </row>
    <row r="45" spans="1:4">
      <c r="A45">
        <v>43</v>
      </c>
      <c r="B45" t="s">
        <v>73</v>
      </c>
      <c r="C45" t="s">
        <v>15</v>
      </c>
    </row>
    <row r="46" spans="1:4">
      <c r="A46">
        <v>44</v>
      </c>
      <c r="B46" t="s">
        <v>74</v>
      </c>
      <c r="C46" t="s">
        <v>13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dimension ref="A1:M45"/>
  <sheetViews>
    <sheetView workbookViewId="0">
      <pane ySplit="1" topLeftCell="A2" activePane="bottomLeft" state="frozen"/>
      <selection pane="bottomLeft"/>
    </sheetView>
  </sheetViews>
  <sheetFormatPr defaultRowHeight="15"/>
  <cols>
    <col min="1" max="1" width="12.7109375" customWidth="1"/>
    <col min="2" max="2" width="42.7109375" customWidth="1"/>
    <col min="3" max="3" width="24.7109375" customWidth="1"/>
    <col min="4" max="7" width="14.7109375" customWidth="1"/>
    <col min="8" max="13" width="12.7109375" customWidth="1"/>
  </cols>
  <sheetData>
    <row r="1" spans="1:13">
      <c r="A1" s="21" t="s">
        <v>28</v>
      </c>
      <c r="B1" s="21" t="s">
        <v>19</v>
      </c>
      <c r="C1" s="21" t="s">
        <v>20</v>
      </c>
      <c r="D1" s="21" t="s">
        <v>21</v>
      </c>
      <c r="E1" s="21" t="s">
        <v>22</v>
      </c>
      <c r="F1" s="21" t="s">
        <v>23</v>
      </c>
      <c r="G1" s="21" t="s">
        <v>24</v>
      </c>
      <c r="H1" s="21" t="s">
        <v>75</v>
      </c>
      <c r="I1" s="21" t="s">
        <v>76</v>
      </c>
      <c r="J1" s="21" t="s">
        <v>77</v>
      </c>
      <c r="K1" s="21" t="s">
        <v>78</v>
      </c>
      <c r="L1" s="21" t="s">
        <v>79</v>
      </c>
      <c r="M1" s="21" t="s">
        <v>80</v>
      </c>
    </row>
    <row r="2" spans="1:13">
      <c r="A2">
        <v>1</v>
      </c>
      <c r="B2" t="s">
        <v>40</v>
      </c>
      <c r="C2" t="s">
        <v>17</v>
      </c>
      <c r="D2">
        <f>IF(COUNTIFS(Daten[source_id],1,Daten[Zielgruppe],selectedGroup,Daten[Suche %],"&lt;&gt;")=0,"",SUMIFS(Daten[Suche %],Daten[source_id],1,Daten[Zielgruppe],selectedGroup))</f>
        <v>28.8</v>
      </c>
      <c r="E2">
        <f>IF(COUNTIFS(Daten[source_id],1,Daten[Zielgruppe],selectedGroup,Daten[Wahrnehmung %],"&lt;&gt;")=0,"",SUMIFS(Daten[Wahrnehmung %],Daten[source_id],1,Daten[Zielgruppe],selectedGroup))</f>
        <v/>
      </c>
      <c r="F2">
        <f>IF(COUNTIFS(Daten[source_id],1,Daten[Zielgruppe],selectedGroup,Daten[Vertrauen Pkt.],"&lt;&gt;")=0,"",SUMIFS(Daten[Vertrauen Pkt.],Daten[source_id],1,Daten[Zielgruppe],selectedGroup))</f>
        <v>79.4</v>
      </c>
      <c r="G2">
        <f>IF(COUNTIFS(Daten[source_id],1,Daten[Zielgruppe],selectedGroup,Daten[Präventionspotential Pkt.],"&lt;&gt;")=0,"",SUMIFS(Daten[Präventionspotential Pkt.],Daten[source_id],1,Daten[Zielgruppe],selectedGroup))</f>
        <v>24.4</v>
      </c>
      <c r="H2">
        <f>IF(katFilter="Alle",1,IF($C2=katFilter,1,0))</f>
        <v>1</v>
      </c>
      <c r="I2">
        <f>IF(LEN(sucheText)=0,1,IFERROR(IF(ISNUMBER(SEARCH(sucheText,$B2)),1,0),0))</f>
        <v>1</v>
      </c>
      <c r="J2">
        <f>$H2*$I2</f>
        <v>1</v>
      </c>
      <c r="K2">
        <f>CHOOSE(sortIdx,$A2,COUNTIF(Live!$B$2:$B$45,"&lt;"&amp;$B2)+1,COUNTIF(Live!$C$2:$C$45,"&lt;"&amp;$C2)+1,$D2,$E2,$F2,$G2)</f>
        <v>1</v>
      </c>
      <c r="L2">
        <f>IF($K2="",100000,sortDir*$K2)+ROW()*0.0001</f>
        <v>1.0002</v>
      </c>
      <c r="M2">
        <f>IF($J2&lt;&gt;1,0,COUNTIFS(Live!$J$2:$J$45,1,Live!$L$2:$L$45,"&lt;"&amp;$L2)+1)</f>
        <v>1</v>
      </c>
    </row>
    <row r="3" spans="1:13">
      <c r="A3">
        <v>2</v>
      </c>
      <c r="B3" t="s">
        <v>41</v>
      </c>
      <c r="C3" t="s">
        <v>12</v>
      </c>
      <c r="D3">
        <f>IF(COUNTIFS(Daten[source_id],2,Daten[Zielgruppe],selectedGroup,Daten[Suche %],"&lt;&gt;")=0,"",SUMIFS(Daten[Suche %],Daten[source_id],2,Daten[Zielgruppe],selectedGroup))</f>
        <v>60.4</v>
      </c>
      <c r="E3">
        <f>IF(COUNTIFS(Daten[source_id],2,Daten[Zielgruppe],selectedGroup,Daten[Wahrnehmung %],"&lt;&gt;")=0,"",SUMIFS(Daten[Wahrnehmung %],Daten[source_id],2,Daten[Zielgruppe],selectedGroup))</f>
        <v/>
      </c>
      <c r="F3">
        <f>IF(COUNTIFS(Daten[source_id],2,Daten[Zielgruppe],selectedGroup,Daten[Vertrauen Pkt.],"&lt;&gt;")=0,"",SUMIFS(Daten[Vertrauen Pkt.],Daten[source_id],2,Daten[Zielgruppe],selectedGroup))</f>
        <v>91.7</v>
      </c>
      <c r="G3">
        <f>IF(COUNTIFS(Daten[source_id],2,Daten[Zielgruppe],selectedGroup,Daten[Präventionspotential Pkt.],"&lt;&gt;")=0,"",SUMIFS(Daten[Präventionspotential Pkt.],Daten[source_id],2,Daten[Zielgruppe],selectedGroup))</f>
        <v>56.6</v>
      </c>
      <c r="H3">
        <f>IF(katFilter="Alle",1,IF($C3=katFilter,1,0))</f>
        <v>1</v>
      </c>
      <c r="I3">
        <f>IF(LEN(sucheText)=0,1,IFERROR(IF(ISNUMBER(SEARCH(sucheText,$B3)),1,0),0))</f>
        <v>1</v>
      </c>
      <c r="J3">
        <f>$H3*$I3</f>
        <v>1</v>
      </c>
      <c r="K3">
        <f>CHOOSE(sortIdx,$A3,COUNTIF(Live!$B$2:$B$45,"&lt;"&amp;$B3)+1,COUNTIF(Live!$C$2:$C$45,"&lt;"&amp;$C3)+1,$D3,$E3,$F3,$G3)</f>
        <v>2</v>
      </c>
      <c r="L3">
        <f>IF($K3="",100000,sortDir*$K3)+ROW()*0.0001</f>
        <v>2.0003</v>
      </c>
      <c r="M3">
        <f>IF($J3&lt;&gt;1,0,COUNTIFS(Live!$J$2:$J$45,1,Live!$L$2:$L$45,"&lt;"&amp;$L3)+1)</f>
        <v>2</v>
      </c>
    </row>
    <row r="4" spans="1:13">
      <c r="A4">
        <v>3</v>
      </c>
      <c r="B4" t="s">
        <v>42</v>
      </c>
      <c r="C4" t="s">
        <v>12</v>
      </c>
      <c r="D4">
        <f>IF(COUNTIFS(Daten[source_id],3,Daten[Zielgruppe],selectedGroup,Daten[Suche %],"&lt;&gt;")=0,"",SUMIFS(Daten[Suche %],Daten[source_id],3,Daten[Zielgruppe],selectedGroup))</f>
        <v>49.7</v>
      </c>
      <c r="E4">
        <f>IF(COUNTIFS(Daten[source_id],3,Daten[Zielgruppe],selectedGroup,Daten[Wahrnehmung %],"&lt;&gt;")=0,"",SUMIFS(Daten[Wahrnehmung %],Daten[source_id],3,Daten[Zielgruppe],selectedGroup))</f>
        <v/>
      </c>
      <c r="F4">
        <f>IF(COUNTIFS(Daten[source_id],3,Daten[Zielgruppe],selectedGroup,Daten[Vertrauen Pkt.],"&lt;&gt;")=0,"",SUMIFS(Daten[Vertrauen Pkt.],Daten[source_id],3,Daten[Zielgruppe],selectedGroup))</f>
        <v/>
      </c>
      <c r="G4">
        <f>IF(COUNTIFS(Daten[source_id],3,Daten[Zielgruppe],selectedGroup,Daten[Präventionspotential Pkt.],"&lt;&gt;")=0,"",SUMIFS(Daten[Präventionspotential Pkt.],Daten[source_id],3,Daten[Zielgruppe],selectedGroup))</f>
        <v/>
      </c>
      <c r="H4">
        <f>IF(katFilter="Alle",1,IF($C4=katFilter,1,0))</f>
        <v>1</v>
      </c>
      <c r="I4">
        <f>IF(LEN(sucheText)=0,1,IFERROR(IF(ISNUMBER(SEARCH(sucheText,$B4)),1,0),0))</f>
        <v>1</v>
      </c>
      <c r="J4">
        <f>$H4*$I4</f>
        <v>1</v>
      </c>
      <c r="K4">
        <f>CHOOSE(sortIdx,$A4,COUNTIF(Live!$B$2:$B$45,"&lt;"&amp;$B4)+1,COUNTIF(Live!$C$2:$C$45,"&lt;"&amp;$C4)+1,$D4,$E4,$F4,$G4)</f>
        <v>3</v>
      </c>
      <c r="L4">
        <f>IF($K4="",100000,sortDir*$K4)+ROW()*0.0001</f>
        <v>3.0004</v>
      </c>
      <c r="M4">
        <f>IF($J4&lt;&gt;1,0,COUNTIFS(Live!$J$2:$J$45,1,Live!$L$2:$L$45,"&lt;"&amp;$L4)+1)</f>
        <v>3</v>
      </c>
    </row>
    <row r="5" spans="1:13">
      <c r="A5">
        <v>4</v>
      </c>
      <c r="B5" t="s">
        <v>43</v>
      </c>
      <c r="C5" t="s">
        <v>12</v>
      </c>
      <c r="D5">
        <f>IF(COUNTIFS(Daten[source_id],4,Daten[Zielgruppe],selectedGroup,Daten[Suche %],"&lt;&gt;")=0,"",SUMIFS(Daten[Suche %],Daten[source_id],4,Daten[Zielgruppe],selectedGroup))</f>
        <v>21.8</v>
      </c>
      <c r="E5">
        <f>IF(COUNTIFS(Daten[source_id],4,Daten[Zielgruppe],selectedGroup,Daten[Wahrnehmung %],"&lt;&gt;")=0,"",SUMIFS(Daten[Wahrnehmung %],Daten[source_id],4,Daten[Zielgruppe],selectedGroup))</f>
        <v/>
      </c>
      <c r="F5">
        <f>IF(COUNTIFS(Daten[source_id],4,Daten[Zielgruppe],selectedGroup,Daten[Vertrauen Pkt.],"&lt;&gt;")=0,"",SUMIFS(Daten[Vertrauen Pkt.],Daten[source_id],4,Daten[Zielgruppe],selectedGroup))</f>
        <v/>
      </c>
      <c r="G5">
        <f>IF(COUNTIFS(Daten[source_id],4,Daten[Zielgruppe],selectedGroup,Daten[Präventionspotential Pkt.],"&lt;&gt;")=0,"",SUMIFS(Daten[Präventionspotential Pkt.],Daten[source_id],4,Daten[Zielgruppe],selectedGroup))</f>
        <v/>
      </c>
      <c r="H5">
        <f>IF(katFilter="Alle",1,IF($C5=katFilter,1,0))</f>
        <v>1</v>
      </c>
      <c r="I5">
        <f>IF(LEN(sucheText)=0,1,IFERROR(IF(ISNUMBER(SEARCH(sucheText,$B5)),1,0),0))</f>
        <v>1</v>
      </c>
      <c r="J5">
        <f>$H5*$I5</f>
        <v>1</v>
      </c>
      <c r="K5">
        <f>CHOOSE(sortIdx,$A5,COUNTIF(Live!$B$2:$B$45,"&lt;"&amp;$B5)+1,COUNTIF(Live!$C$2:$C$45,"&lt;"&amp;$C5)+1,$D5,$E5,$F5,$G5)</f>
        <v>4</v>
      </c>
      <c r="L5">
        <f>IF($K5="",100000,sortDir*$K5)+ROW()*0.0001</f>
        <v>4.0005</v>
      </c>
      <c r="M5">
        <f>IF($J5&lt;&gt;1,0,COUNTIFS(Live!$J$2:$J$45,1,Live!$L$2:$L$45,"&lt;"&amp;$L5)+1)</f>
        <v>4</v>
      </c>
    </row>
    <row r="6" spans="1:13">
      <c r="A6">
        <v>5</v>
      </c>
      <c r="B6" t="s">
        <v>44</v>
      </c>
      <c r="C6" t="s">
        <v>12</v>
      </c>
      <c r="D6">
        <f>IF(COUNTIFS(Daten[source_id],5,Daten[Zielgruppe],selectedGroup,Daten[Suche %],"&lt;&gt;")=0,"",SUMIFS(Daten[Suche %],Daten[source_id],5,Daten[Zielgruppe],selectedGroup))</f>
        <v>18.0</v>
      </c>
      <c r="E6">
        <f>IF(COUNTIFS(Daten[source_id],5,Daten[Zielgruppe],selectedGroup,Daten[Wahrnehmung %],"&lt;&gt;")=0,"",SUMIFS(Daten[Wahrnehmung %],Daten[source_id],5,Daten[Zielgruppe],selectedGroup))</f>
        <v/>
      </c>
      <c r="F6">
        <f>IF(COUNTIFS(Daten[source_id],5,Daten[Zielgruppe],selectedGroup,Daten[Vertrauen Pkt.],"&lt;&gt;")=0,"",SUMIFS(Daten[Vertrauen Pkt.],Daten[source_id],5,Daten[Zielgruppe],selectedGroup))</f>
        <v>90.0</v>
      </c>
      <c r="G6">
        <f>IF(COUNTIFS(Daten[source_id],5,Daten[Zielgruppe],selectedGroup,Daten[Präventionspotential Pkt.],"&lt;&gt;")=0,"",SUMIFS(Daten[Präventionspotential Pkt.],Daten[source_id],5,Daten[Zielgruppe],selectedGroup))</f>
        <v>16.7</v>
      </c>
      <c r="H6">
        <f>IF(katFilter="Alle",1,IF($C6=katFilter,1,0))</f>
        <v>1</v>
      </c>
      <c r="I6">
        <f>IF(LEN(sucheText)=0,1,IFERROR(IF(ISNUMBER(SEARCH(sucheText,$B6)),1,0),0))</f>
        <v>1</v>
      </c>
      <c r="J6">
        <f>$H6*$I6</f>
        <v>1</v>
      </c>
      <c r="K6">
        <f>CHOOSE(sortIdx,$A6,COUNTIF(Live!$B$2:$B$45,"&lt;"&amp;$B6)+1,COUNTIF(Live!$C$2:$C$45,"&lt;"&amp;$C6)+1,$D6,$E6,$F6,$G6)</f>
        <v>5</v>
      </c>
      <c r="L6">
        <f>IF($K6="",100000,sortDir*$K6)+ROW()*0.0001</f>
        <v>5.0006</v>
      </c>
      <c r="M6">
        <f>IF($J6&lt;&gt;1,0,COUNTIFS(Live!$J$2:$J$45,1,Live!$L$2:$L$45,"&lt;"&amp;$L6)+1)</f>
        <v>5</v>
      </c>
    </row>
    <row r="7" spans="1:13">
      <c r="A7">
        <v>6</v>
      </c>
      <c r="B7" t="s">
        <v>42</v>
      </c>
      <c r="C7" t="s">
        <v>12</v>
      </c>
      <c r="D7">
        <f>IF(COUNTIFS(Daten[source_id],6,Daten[Zielgruppe],selectedGroup,Daten[Suche %],"&lt;&gt;")=0,"",SUMIFS(Daten[Suche %],Daten[source_id],6,Daten[Zielgruppe],selectedGroup))</f>
        <v>9.4</v>
      </c>
      <c r="E7">
        <f>IF(COUNTIFS(Daten[source_id],6,Daten[Zielgruppe],selectedGroup,Daten[Wahrnehmung %],"&lt;&gt;")=0,"",SUMIFS(Daten[Wahrnehmung %],Daten[source_id],6,Daten[Zielgruppe],selectedGroup))</f>
        <v/>
      </c>
      <c r="F7">
        <f>IF(COUNTIFS(Daten[source_id],6,Daten[Zielgruppe],selectedGroup,Daten[Vertrauen Pkt.],"&lt;&gt;")=0,"",SUMIFS(Daten[Vertrauen Pkt.],Daten[source_id],6,Daten[Zielgruppe],selectedGroup))</f>
        <v/>
      </c>
      <c r="G7">
        <f>IF(COUNTIFS(Daten[source_id],6,Daten[Zielgruppe],selectedGroup,Daten[Präventionspotential Pkt.],"&lt;&gt;")=0,"",SUMIFS(Daten[Präventionspotential Pkt.],Daten[source_id],6,Daten[Zielgruppe],selectedGroup))</f>
        <v/>
      </c>
      <c r="H7">
        <f>IF(katFilter="Alle",1,IF($C7=katFilter,1,0))</f>
        <v>1</v>
      </c>
      <c r="I7">
        <f>IF(LEN(sucheText)=0,1,IFERROR(IF(ISNUMBER(SEARCH(sucheText,$B7)),1,0),0))</f>
        <v>1</v>
      </c>
      <c r="J7">
        <f>$H7*$I7</f>
        <v>1</v>
      </c>
      <c r="K7">
        <f>CHOOSE(sortIdx,$A7,COUNTIF(Live!$B$2:$B$45,"&lt;"&amp;$B7)+1,COUNTIF(Live!$C$2:$C$45,"&lt;"&amp;$C7)+1,$D7,$E7,$F7,$G7)</f>
        <v>6</v>
      </c>
      <c r="L7">
        <f>IF($K7="",100000,sortDir*$K7)+ROW()*0.0001</f>
        <v>6.0007</v>
      </c>
      <c r="M7">
        <f>IF($J7&lt;&gt;1,0,COUNTIFS(Live!$J$2:$J$45,1,Live!$L$2:$L$45,"&lt;"&amp;$L7)+1)</f>
        <v>6</v>
      </c>
    </row>
    <row r="8" spans="1:13">
      <c r="A8">
        <v>7</v>
      </c>
      <c r="B8" t="s">
        <v>43</v>
      </c>
      <c r="C8" t="s">
        <v>12</v>
      </c>
      <c r="D8">
        <f>IF(COUNTIFS(Daten[source_id],7,Daten[Zielgruppe],selectedGroup,Daten[Suche %],"&lt;&gt;")=0,"",SUMIFS(Daten[Suche %],Daten[source_id],7,Daten[Zielgruppe],selectedGroup))</f>
        <v>10.3</v>
      </c>
      <c r="E8">
        <f>IF(COUNTIFS(Daten[source_id],7,Daten[Zielgruppe],selectedGroup,Daten[Wahrnehmung %],"&lt;&gt;")=0,"",SUMIFS(Daten[Wahrnehmung %],Daten[source_id],7,Daten[Zielgruppe],selectedGroup))</f>
        <v/>
      </c>
      <c r="F8">
        <f>IF(COUNTIFS(Daten[source_id],7,Daten[Zielgruppe],selectedGroup,Daten[Vertrauen Pkt.],"&lt;&gt;")=0,"",SUMIFS(Daten[Vertrauen Pkt.],Daten[source_id],7,Daten[Zielgruppe],selectedGroup))</f>
        <v/>
      </c>
      <c r="G8">
        <f>IF(COUNTIFS(Daten[source_id],7,Daten[Zielgruppe],selectedGroup,Daten[Präventionspotential Pkt.],"&lt;&gt;")=0,"",SUMIFS(Daten[Präventionspotential Pkt.],Daten[source_id],7,Daten[Zielgruppe],selectedGroup))</f>
        <v/>
      </c>
      <c r="H8">
        <f>IF(katFilter="Alle",1,IF($C8=katFilter,1,0))</f>
        <v>1</v>
      </c>
      <c r="I8">
        <f>IF(LEN(sucheText)=0,1,IFERROR(IF(ISNUMBER(SEARCH(sucheText,$B8)),1,0),0))</f>
        <v>1</v>
      </c>
      <c r="J8">
        <f>$H8*$I8</f>
        <v>1</v>
      </c>
      <c r="K8">
        <f>CHOOSE(sortIdx,$A8,COUNTIF(Live!$B$2:$B$45,"&lt;"&amp;$B8)+1,COUNTIF(Live!$C$2:$C$45,"&lt;"&amp;$C8)+1,$D8,$E8,$F8,$G8)</f>
        <v>7</v>
      </c>
      <c r="L8">
        <f>IF($K8="",100000,sortDir*$K8)+ROW()*0.0001</f>
        <v>7.0008</v>
      </c>
      <c r="M8">
        <f>IF($J8&lt;&gt;1,0,COUNTIFS(Live!$J$2:$J$45,1,Live!$L$2:$L$45,"&lt;"&amp;$L8)+1)</f>
        <v>7</v>
      </c>
    </row>
    <row r="9" spans="1:13">
      <c r="A9">
        <v>8</v>
      </c>
      <c r="B9" t="s">
        <v>45</v>
      </c>
      <c r="C9" t="s">
        <v>12</v>
      </c>
      <c r="D9">
        <f>IF(COUNTIFS(Daten[source_id],8,Daten[Zielgruppe],selectedGroup,Daten[Suche %],"&lt;&gt;")=0,"",SUMIFS(Daten[Suche %],Daten[source_id],8,Daten[Zielgruppe],selectedGroup))</f>
        <v>30.1</v>
      </c>
      <c r="E9">
        <f>IF(COUNTIFS(Daten[source_id],8,Daten[Zielgruppe],selectedGroup,Daten[Wahrnehmung %],"&lt;&gt;")=0,"",SUMIFS(Daten[Wahrnehmung %],Daten[source_id],8,Daten[Zielgruppe],selectedGroup))</f>
        <v/>
      </c>
      <c r="F9">
        <f>IF(COUNTIFS(Daten[source_id],8,Daten[Zielgruppe],selectedGroup,Daten[Vertrauen Pkt.],"&lt;&gt;")=0,"",SUMIFS(Daten[Vertrauen Pkt.],Daten[source_id],8,Daten[Zielgruppe],selectedGroup))</f>
        <v>91.9</v>
      </c>
      <c r="G9">
        <f>IF(COUNTIFS(Daten[source_id],8,Daten[Zielgruppe],selectedGroup,Daten[Präventionspotential Pkt.],"&lt;&gt;")=0,"",SUMIFS(Daten[Präventionspotential Pkt.],Daten[source_id],8,Daten[Zielgruppe],selectedGroup))</f>
        <v>28.3</v>
      </c>
      <c r="H9">
        <f>IF(katFilter="Alle",1,IF($C9=katFilter,1,0))</f>
        <v>1</v>
      </c>
      <c r="I9">
        <f>IF(LEN(sucheText)=0,1,IFERROR(IF(ISNUMBER(SEARCH(sucheText,$B9)),1,0),0))</f>
        <v>1</v>
      </c>
      <c r="J9">
        <f>$H9*$I9</f>
        <v>1</v>
      </c>
      <c r="K9">
        <f>CHOOSE(sortIdx,$A9,COUNTIF(Live!$B$2:$B$45,"&lt;"&amp;$B9)+1,COUNTIF(Live!$C$2:$C$45,"&lt;"&amp;$C9)+1,$D9,$E9,$F9,$G9)</f>
        <v>8</v>
      </c>
      <c r="L9">
        <f>IF($K9="",100000,sortDir*$K9)+ROW()*0.0001</f>
        <v>8.0009</v>
      </c>
      <c r="M9">
        <f>IF($J9&lt;&gt;1,0,COUNTIFS(Live!$J$2:$J$45,1,Live!$L$2:$L$45,"&lt;"&amp;$L9)+1)</f>
        <v>8</v>
      </c>
    </row>
    <row r="10" spans="1:13">
      <c r="A10">
        <v>9</v>
      </c>
      <c r="B10" t="s">
        <v>42</v>
      </c>
      <c r="C10" t="s">
        <v>12</v>
      </c>
      <c r="D10">
        <f>IF(COUNTIFS(Daten[source_id],9,Daten[Zielgruppe],selectedGroup,Daten[Suche %],"&lt;&gt;")=0,"",SUMIFS(Daten[Suche %],Daten[source_id],9,Daten[Zielgruppe],selectedGroup))</f>
        <v>19.7</v>
      </c>
      <c r="E10">
        <f>IF(COUNTIFS(Daten[source_id],9,Daten[Zielgruppe],selectedGroup,Daten[Wahrnehmung %],"&lt;&gt;")=0,"",SUMIFS(Daten[Wahrnehmung %],Daten[source_id],9,Daten[Zielgruppe],selectedGroup))</f>
        <v/>
      </c>
      <c r="F10">
        <f>IF(COUNTIFS(Daten[source_id],9,Daten[Zielgruppe],selectedGroup,Daten[Vertrauen Pkt.],"&lt;&gt;")=0,"",SUMIFS(Daten[Vertrauen Pkt.],Daten[source_id],9,Daten[Zielgruppe],selectedGroup))</f>
        <v/>
      </c>
      <c r="G10">
        <f>IF(COUNTIFS(Daten[source_id],9,Daten[Zielgruppe],selectedGroup,Daten[Präventionspotential Pkt.],"&lt;&gt;")=0,"",SUMIFS(Daten[Präventionspotential Pkt.],Daten[source_id],9,Daten[Zielgruppe],selectedGroup))</f>
        <v/>
      </c>
      <c r="H10">
        <f>IF(katFilter="Alle",1,IF($C10=katFilter,1,0))</f>
        <v>1</v>
      </c>
      <c r="I10">
        <f>IF(LEN(sucheText)=0,1,IFERROR(IF(ISNUMBER(SEARCH(sucheText,$B10)),1,0),0))</f>
        <v>1</v>
      </c>
      <c r="J10">
        <f>$H10*$I10</f>
        <v>1</v>
      </c>
      <c r="K10">
        <f>CHOOSE(sortIdx,$A10,COUNTIF(Live!$B$2:$B$45,"&lt;"&amp;$B10)+1,COUNTIF(Live!$C$2:$C$45,"&lt;"&amp;$C10)+1,$D10,$E10,$F10,$G10)</f>
        <v>9</v>
      </c>
      <c r="L10">
        <f>IF($K10="",100000,sortDir*$K10)+ROW()*0.0001</f>
        <v>9.001</v>
      </c>
      <c r="M10">
        <f>IF($J10&lt;&gt;1,0,COUNTIFS(Live!$J$2:$J$45,1,Live!$L$2:$L$45,"&lt;"&amp;$L10)+1)</f>
        <v>9</v>
      </c>
    </row>
    <row r="11" spans="1:13">
      <c r="A11">
        <v>10</v>
      </c>
      <c r="B11" t="s">
        <v>43</v>
      </c>
      <c r="C11" t="s">
        <v>12</v>
      </c>
      <c r="D11">
        <f>IF(COUNTIFS(Daten[source_id],10,Daten[Zielgruppe],selectedGroup,Daten[Suche %],"&lt;&gt;")=0,"",SUMIFS(Daten[Suche %],Daten[source_id],10,Daten[Zielgruppe],selectedGroup))</f>
        <v>15.2</v>
      </c>
      <c r="E11">
        <f>IF(COUNTIFS(Daten[source_id],10,Daten[Zielgruppe],selectedGroup,Daten[Wahrnehmung %],"&lt;&gt;")=0,"",SUMIFS(Daten[Wahrnehmung %],Daten[source_id],10,Daten[Zielgruppe],selectedGroup))</f>
        <v/>
      </c>
      <c r="F11">
        <f>IF(COUNTIFS(Daten[source_id],10,Daten[Zielgruppe],selectedGroup,Daten[Vertrauen Pkt.],"&lt;&gt;")=0,"",SUMIFS(Daten[Vertrauen Pkt.],Daten[source_id],10,Daten[Zielgruppe],selectedGroup))</f>
        <v/>
      </c>
      <c r="G11">
        <f>IF(COUNTIFS(Daten[source_id],10,Daten[Zielgruppe],selectedGroup,Daten[Präventionspotential Pkt.],"&lt;&gt;")=0,"",SUMIFS(Daten[Präventionspotential Pkt.],Daten[source_id],10,Daten[Zielgruppe],selectedGroup))</f>
        <v/>
      </c>
      <c r="H11">
        <f>IF(katFilter="Alle",1,IF($C11=katFilter,1,0))</f>
        <v>1</v>
      </c>
      <c r="I11">
        <f>IF(LEN(sucheText)=0,1,IFERROR(IF(ISNUMBER(SEARCH(sucheText,$B11)),1,0),0))</f>
        <v>1</v>
      </c>
      <c r="J11">
        <f>$H11*$I11</f>
        <v>1</v>
      </c>
      <c r="K11">
        <f>CHOOSE(sortIdx,$A11,COUNTIF(Live!$B$2:$B$45,"&lt;"&amp;$B11)+1,COUNTIF(Live!$C$2:$C$45,"&lt;"&amp;$C11)+1,$D11,$E11,$F11,$G11)</f>
        <v>10</v>
      </c>
      <c r="L11">
        <f>IF($K11="",100000,sortDir*$K11)+ROW()*0.0001</f>
        <v>10.0011</v>
      </c>
      <c r="M11">
        <f>IF($J11&lt;&gt;1,0,COUNTIFS(Live!$J$2:$J$45,1,Live!$L$2:$L$45,"&lt;"&amp;$L11)+1)</f>
        <v>10</v>
      </c>
    </row>
    <row r="12" spans="1:13">
      <c r="A12">
        <v>11</v>
      </c>
      <c r="B12" t="s">
        <v>46</v>
      </c>
      <c r="C12" t="s">
        <v>12</v>
      </c>
      <c r="D12">
        <f>IF(COUNTIFS(Daten[source_id],11,Daten[Zielgruppe],selectedGroup,Daten[Suche %],"&lt;&gt;")=0,"",SUMIFS(Daten[Suche %],Daten[source_id],11,Daten[Zielgruppe],selectedGroup))</f>
        <v>4.3</v>
      </c>
      <c r="E12">
        <f>IF(COUNTIFS(Daten[source_id],11,Daten[Zielgruppe],selectedGroup,Daten[Wahrnehmung %],"&lt;&gt;")=0,"",SUMIFS(Daten[Wahrnehmung %],Daten[source_id],11,Daten[Zielgruppe],selectedGroup))</f>
        <v/>
      </c>
      <c r="F12">
        <f>IF(COUNTIFS(Daten[source_id],11,Daten[Zielgruppe],selectedGroup,Daten[Vertrauen Pkt.],"&lt;&gt;")=0,"",SUMIFS(Daten[Vertrauen Pkt.],Daten[source_id],11,Daten[Zielgruppe],selectedGroup))</f>
        <v>80.1</v>
      </c>
      <c r="G12">
        <f>IF(COUNTIFS(Daten[source_id],11,Daten[Zielgruppe],selectedGroup,Daten[Präventionspotential Pkt.],"&lt;&gt;")=0,"",SUMIFS(Daten[Präventionspotential Pkt.],Daten[source_id],11,Daten[Zielgruppe],selectedGroup))</f>
        <v>3.6</v>
      </c>
      <c r="H12">
        <f>IF(katFilter="Alle",1,IF($C12=katFilter,1,0))</f>
        <v>1</v>
      </c>
      <c r="I12">
        <f>IF(LEN(sucheText)=0,1,IFERROR(IF(ISNUMBER(SEARCH(sucheText,$B12)),1,0),0))</f>
        <v>1</v>
      </c>
      <c r="J12">
        <f>$H12*$I12</f>
        <v>1</v>
      </c>
      <c r="K12">
        <f>CHOOSE(sortIdx,$A12,COUNTIF(Live!$B$2:$B$45,"&lt;"&amp;$B12)+1,COUNTIF(Live!$C$2:$C$45,"&lt;"&amp;$C12)+1,$D12,$E12,$F12,$G12)</f>
        <v>11</v>
      </c>
      <c r="L12">
        <f>IF($K12="",100000,sortDir*$K12)+ROW()*0.0001</f>
        <v>11.0012</v>
      </c>
      <c r="M12">
        <f>IF($J12&lt;&gt;1,0,COUNTIFS(Live!$J$2:$J$45,1,Live!$L$2:$L$45,"&lt;"&amp;$L12)+1)</f>
        <v>11</v>
      </c>
    </row>
    <row r="13" spans="1:13">
      <c r="A13">
        <v>12</v>
      </c>
      <c r="B13" t="s">
        <v>42</v>
      </c>
      <c r="C13" t="s">
        <v>12</v>
      </c>
      <c r="D13">
        <f>IF(COUNTIFS(Daten[source_id],12,Daten[Zielgruppe],selectedGroup,Daten[Suche %],"&lt;&gt;")=0,"",SUMIFS(Daten[Suche %],Daten[source_id],12,Daten[Zielgruppe],selectedGroup))</f>
        <v>1.9</v>
      </c>
      <c r="E13">
        <f>IF(COUNTIFS(Daten[source_id],12,Daten[Zielgruppe],selectedGroup,Daten[Wahrnehmung %],"&lt;&gt;")=0,"",SUMIFS(Daten[Wahrnehmung %],Daten[source_id],12,Daten[Zielgruppe],selectedGroup))</f>
        <v/>
      </c>
      <c r="F13">
        <f>IF(COUNTIFS(Daten[source_id],12,Daten[Zielgruppe],selectedGroup,Daten[Vertrauen Pkt.],"&lt;&gt;")=0,"",SUMIFS(Daten[Vertrauen Pkt.],Daten[source_id],12,Daten[Zielgruppe],selectedGroup))</f>
        <v/>
      </c>
      <c r="G13">
        <f>IF(COUNTIFS(Daten[source_id],12,Daten[Zielgruppe],selectedGroup,Daten[Präventionspotential Pkt.],"&lt;&gt;")=0,"",SUMIFS(Daten[Präventionspotential Pkt.],Daten[source_id],12,Daten[Zielgruppe],selectedGroup))</f>
        <v/>
      </c>
      <c r="H13">
        <f>IF(katFilter="Alle",1,IF($C13=katFilter,1,0))</f>
        <v>1</v>
      </c>
      <c r="I13">
        <f>IF(LEN(sucheText)=0,1,IFERROR(IF(ISNUMBER(SEARCH(sucheText,$B13)),1,0),0))</f>
        <v>1</v>
      </c>
      <c r="J13">
        <f>$H13*$I13</f>
        <v>1</v>
      </c>
      <c r="K13">
        <f>CHOOSE(sortIdx,$A13,COUNTIF(Live!$B$2:$B$45,"&lt;"&amp;$B13)+1,COUNTIF(Live!$C$2:$C$45,"&lt;"&amp;$C13)+1,$D13,$E13,$F13,$G13)</f>
        <v>12</v>
      </c>
      <c r="L13">
        <f>IF($K13="",100000,sortDir*$K13)+ROW()*0.0001</f>
        <v>12.0013</v>
      </c>
      <c r="M13">
        <f>IF($J13&lt;&gt;1,0,COUNTIFS(Live!$J$2:$J$45,1,Live!$L$2:$L$45,"&lt;"&amp;$L13)+1)</f>
        <v>12</v>
      </c>
    </row>
    <row r="14" spans="1:13">
      <c r="A14">
        <v>13</v>
      </c>
      <c r="B14" t="s">
        <v>43</v>
      </c>
      <c r="C14" t="s">
        <v>12</v>
      </c>
      <c r="D14">
        <f>IF(COUNTIFS(Daten[source_id],13,Daten[Zielgruppe],selectedGroup,Daten[Suche %],"&lt;&gt;")=0,"",SUMIFS(Daten[Suche %],Daten[source_id],13,Daten[Zielgruppe],selectedGroup))</f>
        <v>2.3</v>
      </c>
      <c r="E14">
        <f>IF(COUNTIFS(Daten[source_id],13,Daten[Zielgruppe],selectedGroup,Daten[Wahrnehmung %],"&lt;&gt;")=0,"",SUMIFS(Daten[Wahrnehmung %],Daten[source_id],13,Daten[Zielgruppe],selectedGroup))</f>
        <v/>
      </c>
      <c r="F14">
        <f>IF(COUNTIFS(Daten[source_id],13,Daten[Zielgruppe],selectedGroup,Daten[Vertrauen Pkt.],"&lt;&gt;")=0,"",SUMIFS(Daten[Vertrauen Pkt.],Daten[source_id],13,Daten[Zielgruppe],selectedGroup))</f>
        <v/>
      </c>
      <c r="G14">
        <f>IF(COUNTIFS(Daten[source_id],13,Daten[Zielgruppe],selectedGroup,Daten[Präventionspotential Pkt.],"&lt;&gt;")=0,"",SUMIFS(Daten[Präventionspotential Pkt.],Daten[source_id],13,Daten[Zielgruppe],selectedGroup))</f>
        <v/>
      </c>
      <c r="H14">
        <f>IF(katFilter="Alle",1,IF($C14=katFilter,1,0))</f>
        <v>1</v>
      </c>
      <c r="I14">
        <f>IF(LEN(sucheText)=0,1,IFERROR(IF(ISNUMBER(SEARCH(sucheText,$B14)),1,0),0))</f>
        <v>1</v>
      </c>
      <c r="J14">
        <f>$H14*$I14</f>
        <v>1</v>
      </c>
      <c r="K14">
        <f>CHOOSE(sortIdx,$A14,COUNTIF(Live!$B$2:$B$45,"&lt;"&amp;$B14)+1,COUNTIF(Live!$C$2:$C$45,"&lt;"&amp;$C14)+1,$D14,$E14,$F14,$G14)</f>
        <v>13</v>
      </c>
      <c r="L14">
        <f>IF($K14="",100000,sortDir*$K14)+ROW()*0.0001</f>
        <v>13.0014</v>
      </c>
      <c r="M14">
        <f>IF($J14&lt;&gt;1,0,COUNTIFS(Live!$J$2:$J$45,1,Live!$L$2:$L$45,"&lt;"&amp;$L14)+1)</f>
        <v>13</v>
      </c>
    </row>
    <row r="15" spans="1:13">
      <c r="A15">
        <v>14</v>
      </c>
      <c r="B15" t="s">
        <v>47</v>
      </c>
      <c r="C15" t="s">
        <v>13</v>
      </c>
      <c r="D15">
        <f>IF(COUNTIFS(Daten[source_id],14,Daten[Zielgruppe],selectedGroup,Daten[Suche %],"&lt;&gt;")=0,"",SUMIFS(Daten[Suche %],Daten[source_id],14,Daten[Zielgruppe],selectedGroup))</f>
        <v>26.7</v>
      </c>
      <c r="E15">
        <f>IF(COUNTIFS(Daten[source_id],14,Daten[Zielgruppe],selectedGroup,Daten[Wahrnehmung %],"&lt;&gt;")=0,"",SUMIFS(Daten[Wahrnehmung %],Daten[source_id],14,Daten[Zielgruppe],selectedGroup))</f>
        <v/>
      </c>
      <c r="F15">
        <f>IF(COUNTIFS(Daten[source_id],14,Daten[Zielgruppe],selectedGroup,Daten[Vertrauen Pkt.],"&lt;&gt;")=0,"",SUMIFS(Daten[Vertrauen Pkt.],Daten[source_id],14,Daten[Zielgruppe],selectedGroup))</f>
        <v>66.3</v>
      </c>
      <c r="G15">
        <f>IF(COUNTIFS(Daten[source_id],14,Daten[Zielgruppe],selectedGroup,Daten[Präventionspotential Pkt.],"&lt;&gt;")=0,"",SUMIFS(Daten[Präventionspotential Pkt.],Daten[source_id],14,Daten[Zielgruppe],selectedGroup))</f>
        <v>20.0</v>
      </c>
      <c r="H15">
        <f>IF(katFilter="Alle",1,IF($C15=katFilter,1,0))</f>
        <v>1</v>
      </c>
      <c r="I15">
        <f>IF(LEN(sucheText)=0,1,IFERROR(IF(ISNUMBER(SEARCH(sucheText,$B15)),1,0),0))</f>
        <v>1</v>
      </c>
      <c r="J15">
        <f>$H15*$I15</f>
        <v>1</v>
      </c>
      <c r="K15">
        <f>CHOOSE(sortIdx,$A15,COUNTIF(Live!$B$2:$B$45,"&lt;"&amp;$B15)+1,COUNTIF(Live!$C$2:$C$45,"&lt;"&amp;$C15)+1,$D15,$E15,$F15,$G15)</f>
        <v>14</v>
      </c>
      <c r="L15">
        <f>IF($K15="",100000,sortDir*$K15)+ROW()*0.0001</f>
        <v>14.0015</v>
      </c>
      <c r="M15">
        <f>IF($J15&lt;&gt;1,0,COUNTIFS(Live!$J$2:$J$45,1,Live!$L$2:$L$45,"&lt;"&amp;$L15)+1)</f>
        <v>14</v>
      </c>
    </row>
    <row r="16" spans="1:13">
      <c r="A16">
        <v>15</v>
      </c>
      <c r="B16" t="s">
        <v>48</v>
      </c>
      <c r="C16" t="s">
        <v>13</v>
      </c>
      <c r="D16">
        <f>IF(COUNTIFS(Daten[source_id],15,Daten[Zielgruppe],selectedGroup,Daten[Suche %],"&lt;&gt;")=0,"",SUMIFS(Daten[Suche %],Daten[source_id],15,Daten[Zielgruppe],selectedGroup))</f>
        <v>51.1</v>
      </c>
      <c r="E16">
        <f>IF(COUNTIFS(Daten[source_id],15,Daten[Zielgruppe],selectedGroup,Daten[Wahrnehmung %],"&lt;&gt;")=0,"",SUMIFS(Daten[Wahrnehmung %],Daten[source_id],15,Daten[Zielgruppe],selectedGroup))</f>
        <v/>
      </c>
      <c r="F16">
        <f>IF(COUNTIFS(Daten[source_id],15,Daten[Zielgruppe],selectedGroup,Daten[Vertrauen Pkt.],"&lt;&gt;")=0,"",SUMIFS(Daten[Vertrauen Pkt.],Daten[source_id],15,Daten[Zielgruppe],selectedGroup))</f>
        <v>72.2</v>
      </c>
      <c r="G16">
        <f>IF(COUNTIFS(Daten[source_id],15,Daten[Zielgruppe],selectedGroup,Daten[Präventionspotential Pkt.],"&lt;&gt;")=0,"",SUMIFS(Daten[Präventionspotential Pkt.],Daten[source_id],15,Daten[Zielgruppe],selectedGroup))</f>
        <v>40.5</v>
      </c>
      <c r="H16">
        <f>IF(katFilter="Alle",1,IF($C16=katFilter,1,0))</f>
        <v>1</v>
      </c>
      <c r="I16">
        <f>IF(LEN(sucheText)=0,1,IFERROR(IF(ISNUMBER(SEARCH(sucheText,$B16)),1,0),0))</f>
        <v>1</v>
      </c>
      <c r="J16">
        <f>$H16*$I16</f>
        <v>1</v>
      </c>
      <c r="K16">
        <f>CHOOSE(sortIdx,$A16,COUNTIF(Live!$B$2:$B$45,"&lt;"&amp;$B16)+1,COUNTIF(Live!$C$2:$C$45,"&lt;"&amp;$C16)+1,$D16,$E16,$F16,$G16)</f>
        <v>15</v>
      </c>
      <c r="L16">
        <f>IF($K16="",100000,sortDir*$K16)+ROW()*0.0001</f>
        <v>15.0016</v>
      </c>
      <c r="M16">
        <f>IF($J16&lt;&gt;1,0,COUNTIFS(Live!$J$2:$J$45,1,Live!$L$2:$L$45,"&lt;"&amp;$L16)+1)</f>
        <v>15</v>
      </c>
    </row>
    <row r="17" spans="1:13">
      <c r="A17">
        <v>16</v>
      </c>
      <c r="B17" t="s">
        <v>49</v>
      </c>
      <c r="C17" t="s">
        <v>13</v>
      </c>
      <c r="D17">
        <f>IF(COUNTIFS(Daten[source_id],16,Daten[Zielgruppe],selectedGroup,Daten[Suche %],"&lt;&gt;")=0,"",SUMIFS(Daten[Suche %],Daten[source_id],16,Daten[Zielgruppe],selectedGroup))</f>
        <v>23.3</v>
      </c>
      <c r="E17">
        <f>IF(COUNTIFS(Daten[source_id],16,Daten[Zielgruppe],selectedGroup,Daten[Wahrnehmung %],"&lt;&gt;")=0,"",SUMIFS(Daten[Wahrnehmung %],Daten[source_id],16,Daten[Zielgruppe],selectedGroup))</f>
        <v/>
      </c>
      <c r="F17">
        <f>IF(COUNTIFS(Daten[source_id],16,Daten[Zielgruppe],selectedGroup,Daten[Vertrauen Pkt.],"&lt;&gt;")=0,"",SUMIFS(Daten[Vertrauen Pkt.],Daten[source_id],16,Daten[Zielgruppe],selectedGroup))</f>
        <v>59.3</v>
      </c>
      <c r="G17">
        <f>IF(COUNTIFS(Daten[source_id],16,Daten[Zielgruppe],selectedGroup,Daten[Präventionspotential Pkt.],"&lt;&gt;")=0,"",SUMIFS(Daten[Präventionspotential Pkt.],Daten[source_id],16,Daten[Zielgruppe],selectedGroup))</f>
        <v>16.2</v>
      </c>
      <c r="H17">
        <f>IF(katFilter="Alle",1,IF($C17=katFilter,1,0))</f>
        <v>1</v>
      </c>
      <c r="I17">
        <f>IF(LEN(sucheText)=0,1,IFERROR(IF(ISNUMBER(SEARCH(sucheText,$B17)),1,0),0))</f>
        <v>1</v>
      </c>
      <c r="J17">
        <f>$H17*$I17</f>
        <v>1</v>
      </c>
      <c r="K17">
        <f>CHOOSE(sortIdx,$A17,COUNTIF(Live!$B$2:$B$45,"&lt;"&amp;$B17)+1,COUNTIF(Live!$C$2:$C$45,"&lt;"&amp;$C17)+1,$D17,$E17,$F17,$G17)</f>
        <v>16</v>
      </c>
      <c r="L17">
        <f>IF($K17="",100000,sortDir*$K17)+ROW()*0.0001</f>
        <v>16.0017</v>
      </c>
      <c r="M17">
        <f>IF($J17&lt;&gt;1,0,COUNTIFS(Live!$J$2:$J$45,1,Live!$L$2:$L$45,"&lt;"&amp;$L17)+1)</f>
        <v>16</v>
      </c>
    </row>
    <row r="18" spans="1:13">
      <c r="A18">
        <v>17</v>
      </c>
      <c r="B18" t="s">
        <v>50</v>
      </c>
      <c r="C18" t="s">
        <v>13</v>
      </c>
      <c r="D18">
        <f>IF(COUNTIFS(Daten[source_id],17,Daten[Zielgruppe],selectedGroup,Daten[Suche %],"&lt;&gt;")=0,"",SUMIFS(Daten[Suche %],Daten[source_id],17,Daten[Zielgruppe],selectedGroup))</f>
        <v>51.2</v>
      </c>
      <c r="E18">
        <f>IF(COUNTIFS(Daten[source_id],17,Daten[Zielgruppe],selectedGroup,Daten[Wahrnehmung %],"&lt;&gt;")=0,"",SUMIFS(Daten[Wahrnehmung %],Daten[source_id],17,Daten[Zielgruppe],selectedGroup))</f>
        <v/>
      </c>
      <c r="F18">
        <f>IF(COUNTIFS(Daten[source_id],17,Daten[Zielgruppe],selectedGroup,Daten[Vertrauen Pkt.],"&lt;&gt;")=0,"",SUMIFS(Daten[Vertrauen Pkt.],Daten[source_id],17,Daten[Zielgruppe],selectedGroup))</f>
        <v>61.2</v>
      </c>
      <c r="G18">
        <f>IF(COUNTIFS(Daten[source_id],17,Daten[Zielgruppe],selectedGroup,Daten[Präventionspotential Pkt.],"&lt;&gt;")=0,"",SUMIFS(Daten[Präventionspotential Pkt.],Daten[source_id],17,Daten[Zielgruppe],selectedGroup))</f>
        <v>36.3</v>
      </c>
      <c r="H18">
        <f>IF(katFilter="Alle",1,IF($C18=katFilter,1,0))</f>
        <v>1</v>
      </c>
      <c r="I18">
        <f>IF(LEN(sucheText)=0,1,IFERROR(IF(ISNUMBER(SEARCH(sucheText,$B18)),1,0),0))</f>
        <v>1</v>
      </c>
      <c r="J18">
        <f>$H18*$I18</f>
        <v>1</v>
      </c>
      <c r="K18">
        <f>CHOOSE(sortIdx,$A18,COUNTIF(Live!$B$2:$B$45,"&lt;"&amp;$B18)+1,COUNTIF(Live!$C$2:$C$45,"&lt;"&amp;$C18)+1,$D18,$E18,$F18,$G18)</f>
        <v>17</v>
      </c>
      <c r="L18">
        <f>IF($K18="",100000,sortDir*$K18)+ROW()*0.0001</f>
        <v>17.0018</v>
      </c>
      <c r="M18">
        <f>IF($J18&lt;&gt;1,0,COUNTIFS(Live!$J$2:$J$45,1,Live!$L$2:$L$45,"&lt;"&amp;$L18)+1)</f>
        <v>17</v>
      </c>
    </row>
    <row r="19" spans="1:13">
      <c r="A19">
        <v>18</v>
      </c>
      <c r="B19" t="s">
        <v>51</v>
      </c>
      <c r="C19" t="s">
        <v>13</v>
      </c>
      <c r="D19">
        <f>IF(COUNTIFS(Daten[source_id],18,Daten[Zielgruppe],selectedGroup,Daten[Suche %],"&lt;&gt;")=0,"",SUMIFS(Daten[Suche %],Daten[source_id],18,Daten[Zielgruppe],selectedGroup))</f>
        <v>15.1</v>
      </c>
      <c r="E19">
        <f>IF(COUNTIFS(Daten[source_id],18,Daten[Zielgruppe],selectedGroup,Daten[Wahrnehmung %],"&lt;&gt;")=0,"",SUMIFS(Daten[Wahrnehmung %],Daten[source_id],18,Daten[Zielgruppe],selectedGroup))</f>
        <v/>
      </c>
      <c r="F19">
        <f>IF(COUNTIFS(Daten[source_id],18,Daten[Zielgruppe],selectedGroup,Daten[Vertrauen Pkt.],"&lt;&gt;")=0,"",SUMIFS(Daten[Vertrauen Pkt.],Daten[source_id],18,Daten[Zielgruppe],selectedGroup))</f>
        <v>59.4</v>
      </c>
      <c r="G19">
        <f>IF(COUNTIFS(Daten[source_id],18,Daten[Zielgruppe],selectedGroup,Daten[Präventionspotential Pkt.],"&lt;&gt;")=0,"",SUMIFS(Daten[Präventionspotential Pkt.],Daten[source_id],18,Daten[Zielgruppe],selectedGroup))</f>
        <v>10.5</v>
      </c>
      <c r="H19">
        <f>IF(katFilter="Alle",1,IF($C19=katFilter,1,0))</f>
        <v>1</v>
      </c>
      <c r="I19">
        <f>IF(LEN(sucheText)=0,1,IFERROR(IF(ISNUMBER(SEARCH(sucheText,$B19)),1,0),0))</f>
        <v>1</v>
      </c>
      <c r="J19">
        <f>$H19*$I19</f>
        <v>1</v>
      </c>
      <c r="K19">
        <f>CHOOSE(sortIdx,$A19,COUNTIF(Live!$B$2:$B$45,"&lt;"&amp;$B19)+1,COUNTIF(Live!$C$2:$C$45,"&lt;"&amp;$C19)+1,$D19,$E19,$F19,$G19)</f>
        <v>18</v>
      </c>
      <c r="L19">
        <f>IF($K19="",100000,sortDir*$K19)+ROW()*0.0001</f>
        <v>18.0019</v>
      </c>
      <c r="M19">
        <f>IF($J19&lt;&gt;1,0,COUNTIFS(Live!$J$2:$J$45,1,Live!$L$2:$L$45,"&lt;"&amp;$L19)+1)</f>
        <v>18</v>
      </c>
    </row>
    <row r="20" spans="1:13">
      <c r="A20">
        <v>19</v>
      </c>
      <c r="B20" t="s">
        <v>52</v>
      </c>
      <c r="C20" t="s">
        <v>13</v>
      </c>
      <c r="D20">
        <f>IF(COUNTIFS(Daten[source_id],19,Daten[Zielgruppe],selectedGroup,Daten[Suche %],"&lt;&gt;")=0,"",SUMIFS(Daten[Suche %],Daten[source_id],19,Daten[Zielgruppe],selectedGroup))</f>
        <v>7.3</v>
      </c>
      <c r="E20">
        <f>IF(COUNTIFS(Daten[source_id],19,Daten[Zielgruppe],selectedGroup,Daten[Wahrnehmung %],"&lt;&gt;")=0,"",SUMIFS(Daten[Wahrnehmung %],Daten[source_id],19,Daten[Zielgruppe],selectedGroup))</f>
        <v/>
      </c>
      <c r="F20">
        <f>IF(COUNTIFS(Daten[source_id],19,Daten[Zielgruppe],selectedGroup,Daten[Vertrauen Pkt.],"&lt;&gt;")=0,"",SUMIFS(Daten[Vertrauen Pkt.],Daten[source_id],19,Daten[Zielgruppe],selectedGroup))</f>
        <v>61.7</v>
      </c>
      <c r="G20">
        <f>IF(COUNTIFS(Daten[source_id],19,Daten[Zielgruppe],selectedGroup,Daten[Präventionspotential Pkt.],"&lt;&gt;")=0,"",SUMIFS(Daten[Präventionspotential Pkt.],Daten[source_id],19,Daten[Zielgruppe],selectedGroup))</f>
        <v>5.2</v>
      </c>
      <c r="H20">
        <f>IF(katFilter="Alle",1,IF($C20=katFilter,1,0))</f>
        <v>1</v>
      </c>
      <c r="I20">
        <f>IF(LEN(sucheText)=0,1,IFERROR(IF(ISNUMBER(SEARCH(sucheText,$B20)),1,0),0))</f>
        <v>1</v>
      </c>
      <c r="J20">
        <f>$H20*$I20</f>
        <v>1</v>
      </c>
      <c r="K20">
        <f>CHOOSE(sortIdx,$A20,COUNTIF(Live!$B$2:$B$45,"&lt;"&amp;$B20)+1,COUNTIF(Live!$C$2:$C$45,"&lt;"&amp;$C20)+1,$D20,$E20,$F20,$G20)</f>
        <v>19</v>
      </c>
      <c r="L20">
        <f>IF($K20="",100000,sortDir*$K20)+ROW()*0.0001</f>
        <v>19.002</v>
      </c>
      <c r="M20">
        <f>IF($J20&lt;&gt;1,0,COUNTIFS(Live!$J$2:$J$45,1,Live!$L$2:$L$45,"&lt;"&amp;$L20)+1)</f>
        <v>19</v>
      </c>
    </row>
    <row r="21" spans="1:13">
      <c r="A21">
        <v>20</v>
      </c>
      <c r="B21" t="s">
        <v>53</v>
      </c>
      <c r="C21" t="s">
        <v>13</v>
      </c>
      <c r="D21">
        <f>IF(COUNTIFS(Daten[source_id],20,Daten[Zielgruppe],selectedGroup,Daten[Suche %],"&lt;&gt;")=0,"",SUMIFS(Daten[Suche %],Daten[source_id],20,Daten[Zielgruppe],selectedGroup))</f>
        <v>2.7</v>
      </c>
      <c r="E21">
        <f>IF(COUNTIFS(Daten[source_id],20,Daten[Zielgruppe],selectedGroup,Daten[Wahrnehmung %],"&lt;&gt;")=0,"",SUMIFS(Daten[Wahrnehmung %],Daten[source_id],20,Daten[Zielgruppe],selectedGroup))</f>
        <v/>
      </c>
      <c r="F21">
        <f>IF(COUNTIFS(Daten[source_id],20,Daten[Zielgruppe],selectedGroup,Daten[Vertrauen Pkt.],"&lt;&gt;")=0,"",SUMIFS(Daten[Vertrauen Pkt.],Daten[source_id],20,Daten[Zielgruppe],selectedGroup))</f>
        <v>49.0</v>
      </c>
      <c r="G21">
        <f>IF(COUNTIFS(Daten[source_id],20,Daten[Zielgruppe],selectedGroup,Daten[Präventionspotential Pkt.],"&lt;&gt;")=0,"",SUMIFS(Daten[Präventionspotential Pkt.],Daten[source_id],20,Daten[Zielgruppe],selectedGroup))</f>
        <v>1.7</v>
      </c>
      <c r="H21">
        <f>IF(katFilter="Alle",1,IF($C21=katFilter,1,0))</f>
        <v>1</v>
      </c>
      <c r="I21">
        <f>IF(LEN(sucheText)=0,1,IFERROR(IF(ISNUMBER(SEARCH(sucheText,$B21)),1,0),0))</f>
        <v>1</v>
      </c>
      <c r="J21">
        <f>$H21*$I21</f>
        <v>1</v>
      </c>
      <c r="K21">
        <f>CHOOSE(sortIdx,$A21,COUNTIF(Live!$B$2:$B$45,"&lt;"&amp;$B21)+1,COUNTIF(Live!$C$2:$C$45,"&lt;"&amp;$C21)+1,$D21,$E21,$F21,$G21)</f>
        <v>20</v>
      </c>
      <c r="L21">
        <f>IF($K21="",100000,sortDir*$K21)+ROW()*0.0001</f>
        <v>20.0021</v>
      </c>
      <c r="M21">
        <f>IF($J21&lt;&gt;1,0,COUNTIFS(Live!$J$2:$J$45,1,Live!$L$2:$L$45,"&lt;"&amp;$L21)+1)</f>
        <v>20</v>
      </c>
    </row>
    <row r="22" spans="1:13">
      <c r="A22">
        <v>21</v>
      </c>
      <c r="B22" t="s">
        <v>14</v>
      </c>
      <c r="C22" t="s">
        <v>14</v>
      </c>
      <c r="D22">
        <f>IF(COUNTIFS(Daten[source_id],21,Daten[Zielgruppe],selectedGroup,Daten[Suche %],"&lt;&gt;")=0,"",SUMIFS(Daten[Suche %],Daten[source_id],21,Daten[Zielgruppe],selectedGroup))</f>
        <v>7.6</v>
      </c>
      <c r="E22">
        <f>IF(COUNTIFS(Daten[source_id],21,Daten[Zielgruppe],selectedGroup,Daten[Wahrnehmung %],"&lt;&gt;")=0,"",SUMIFS(Daten[Wahrnehmung %],Daten[source_id],21,Daten[Zielgruppe],selectedGroup))</f>
        <v/>
      </c>
      <c r="F22">
        <f>IF(COUNTIFS(Daten[source_id],21,Daten[Zielgruppe],selectedGroup,Daten[Vertrauen Pkt.],"&lt;&gt;")=0,"",SUMIFS(Daten[Vertrauen Pkt.],Daten[source_id],21,Daten[Zielgruppe],selectedGroup))</f>
        <v/>
      </c>
      <c r="G22">
        <f>IF(COUNTIFS(Daten[source_id],21,Daten[Zielgruppe],selectedGroup,Daten[Präventionspotential Pkt.],"&lt;&gt;")=0,"",SUMIFS(Daten[Präventionspotential Pkt.],Daten[source_id],21,Daten[Zielgruppe],selectedGroup))</f>
        <v/>
      </c>
      <c r="H22">
        <f>IF(katFilter="Alle",1,IF($C22=katFilter,1,0))</f>
        <v>1</v>
      </c>
      <c r="I22">
        <f>IF(LEN(sucheText)=0,1,IFERROR(IF(ISNUMBER(SEARCH(sucheText,$B22)),1,0),0))</f>
        <v>1</v>
      </c>
      <c r="J22">
        <f>$H22*$I22</f>
        <v>1</v>
      </c>
      <c r="K22">
        <f>CHOOSE(sortIdx,$A22,COUNTIF(Live!$B$2:$B$45,"&lt;"&amp;$B22)+1,COUNTIF(Live!$C$2:$C$45,"&lt;"&amp;$C22)+1,$D22,$E22,$F22,$G22)</f>
        <v>21</v>
      </c>
      <c r="L22">
        <f>IF($K22="",100000,sortDir*$K22)+ROW()*0.0001</f>
        <v>21.0022</v>
      </c>
      <c r="M22">
        <f>IF($J22&lt;&gt;1,0,COUNTIFS(Live!$J$2:$J$45,1,Live!$L$2:$L$45,"&lt;"&amp;$L22)+1)</f>
        <v>21</v>
      </c>
    </row>
    <row r="23" spans="1:13">
      <c r="A23">
        <v>22</v>
      </c>
      <c r="B23" t="s">
        <v>54</v>
      </c>
      <c r="C23" t="s">
        <v>14</v>
      </c>
      <c r="D23">
        <f>IF(COUNTIFS(Daten[source_id],22,Daten[Zielgruppe],selectedGroup,Daten[Suche %],"&lt;&gt;")=0,"",SUMIFS(Daten[Suche %],Daten[source_id],22,Daten[Zielgruppe],selectedGroup))</f>
        <v>5.3</v>
      </c>
      <c r="E23">
        <f>IF(COUNTIFS(Daten[source_id],22,Daten[Zielgruppe],selectedGroup,Daten[Wahrnehmung %],"&lt;&gt;")=0,"",SUMIFS(Daten[Wahrnehmung %],Daten[source_id],22,Daten[Zielgruppe],selectedGroup))</f>
        <v/>
      </c>
      <c r="F23">
        <f>IF(COUNTIFS(Daten[source_id],22,Daten[Zielgruppe],selectedGroup,Daten[Vertrauen Pkt.],"&lt;&gt;")=0,"",SUMIFS(Daten[Vertrauen Pkt.],Daten[source_id],22,Daten[Zielgruppe],selectedGroup))</f>
        <v>65.6</v>
      </c>
      <c r="G23">
        <f>IF(COUNTIFS(Daten[source_id],22,Daten[Zielgruppe],selectedGroup,Daten[Präventionspotential Pkt.],"&lt;&gt;")=0,"",SUMIFS(Daten[Präventionspotential Pkt.],Daten[source_id],22,Daten[Zielgruppe],selectedGroup))</f>
        <v>3.9</v>
      </c>
      <c r="H23">
        <f>IF(katFilter="Alle",1,IF($C23=katFilter,1,0))</f>
        <v>1</v>
      </c>
      <c r="I23">
        <f>IF(LEN(sucheText)=0,1,IFERROR(IF(ISNUMBER(SEARCH(sucheText,$B23)),1,0),0))</f>
        <v>1</v>
      </c>
      <c r="J23">
        <f>$H23*$I23</f>
        <v>1</v>
      </c>
      <c r="K23">
        <f>CHOOSE(sortIdx,$A23,COUNTIF(Live!$B$2:$B$45,"&lt;"&amp;$B23)+1,COUNTIF(Live!$C$2:$C$45,"&lt;"&amp;$C23)+1,$D23,$E23,$F23,$G23)</f>
        <v>22</v>
      </c>
      <c r="L23">
        <f>IF($K23="",100000,sortDir*$K23)+ROW()*0.0001</f>
        <v>22.0023</v>
      </c>
      <c r="M23">
        <f>IF($J23&lt;&gt;1,0,COUNTIFS(Live!$J$2:$J$45,1,Live!$L$2:$L$45,"&lt;"&amp;$L23)+1)</f>
        <v>22</v>
      </c>
    </row>
    <row r="24" spans="1:13">
      <c r="A24">
        <v>23</v>
      </c>
      <c r="B24" t="s">
        <v>55</v>
      </c>
      <c r="C24" t="s">
        <v>14</v>
      </c>
      <c r="D24">
        <f>IF(COUNTIFS(Daten[source_id],23,Daten[Zielgruppe],selectedGroup,Daten[Suche %],"&lt;&gt;")=0,"",SUMIFS(Daten[Suche %],Daten[source_id],23,Daten[Zielgruppe],selectedGroup))</f>
        <v>4.7</v>
      </c>
      <c r="E24">
        <f>IF(COUNTIFS(Daten[source_id],23,Daten[Zielgruppe],selectedGroup,Daten[Wahrnehmung %],"&lt;&gt;")=0,"",SUMIFS(Daten[Wahrnehmung %],Daten[source_id],23,Daten[Zielgruppe],selectedGroup))</f>
        <v/>
      </c>
      <c r="F24">
        <f>IF(COUNTIFS(Daten[source_id],23,Daten[Zielgruppe],selectedGroup,Daten[Vertrauen Pkt.],"&lt;&gt;")=0,"",SUMIFS(Daten[Vertrauen Pkt.],Daten[source_id],23,Daten[Zielgruppe],selectedGroup))</f>
        <v>54.6</v>
      </c>
      <c r="G24">
        <f>IF(COUNTIFS(Daten[source_id],23,Daten[Zielgruppe],selectedGroup,Daten[Präventionspotential Pkt.],"&lt;&gt;")=0,"",SUMIFS(Daten[Präventionspotential Pkt.],Daten[source_id],23,Daten[Zielgruppe],selectedGroup))</f>
        <v>3.1</v>
      </c>
      <c r="H24">
        <f>IF(katFilter="Alle",1,IF($C24=katFilter,1,0))</f>
        <v>1</v>
      </c>
      <c r="I24">
        <f>IF(LEN(sucheText)=0,1,IFERROR(IF(ISNUMBER(SEARCH(sucheText,$B24)),1,0),0))</f>
        <v>1</v>
      </c>
      <c r="J24">
        <f>$H24*$I24</f>
        <v>1</v>
      </c>
      <c r="K24">
        <f>CHOOSE(sortIdx,$A24,COUNTIF(Live!$B$2:$B$45,"&lt;"&amp;$B24)+1,COUNTIF(Live!$C$2:$C$45,"&lt;"&amp;$C24)+1,$D24,$E24,$F24,$G24)</f>
        <v>23</v>
      </c>
      <c r="L24">
        <f>IF($K24="",100000,sortDir*$K24)+ROW()*0.0001</f>
        <v>23.0024</v>
      </c>
      <c r="M24">
        <f>IF($J24&lt;&gt;1,0,COUNTIFS(Live!$J$2:$J$45,1,Live!$L$2:$L$45,"&lt;"&amp;$L24)+1)</f>
        <v>23</v>
      </c>
    </row>
    <row r="25" spans="1:13">
      <c r="A25">
        <v>24</v>
      </c>
      <c r="B25" t="s">
        <v>56</v>
      </c>
      <c r="C25" t="s">
        <v>15</v>
      </c>
      <c r="D25">
        <f>IF(COUNTIFS(Daten[source_id],24,Daten[Zielgruppe],selectedGroup,Daten[Suche %],"&lt;&gt;")=0,"",SUMIFS(Daten[Suche %],Daten[source_id],24,Daten[Zielgruppe],selectedGroup))</f>
        <v>8.1</v>
      </c>
      <c r="E25">
        <f>IF(COUNTIFS(Daten[source_id],24,Daten[Zielgruppe],selectedGroup,Daten[Wahrnehmung %],"&lt;&gt;")=0,"",SUMIFS(Daten[Wahrnehmung %],Daten[source_id],24,Daten[Zielgruppe],selectedGroup))</f>
        <v/>
      </c>
      <c r="F25">
        <f>IF(COUNTIFS(Daten[source_id],24,Daten[Zielgruppe],selectedGroup,Daten[Vertrauen Pkt.],"&lt;&gt;")=0,"",SUMIFS(Daten[Vertrauen Pkt.],Daten[source_id],24,Daten[Zielgruppe],selectedGroup))</f>
        <v>76.2</v>
      </c>
      <c r="G25">
        <f>IF(COUNTIFS(Daten[source_id],24,Daten[Zielgruppe],selectedGroup,Daten[Präventionspotential Pkt.],"&lt;&gt;")=0,"",SUMIFS(Daten[Präventionspotential Pkt.],Daten[source_id],24,Daten[Zielgruppe],selectedGroup))</f>
        <v>6.7</v>
      </c>
      <c r="H25">
        <f>IF(katFilter="Alle",1,IF($C25=katFilter,1,0))</f>
        <v>1</v>
      </c>
      <c r="I25">
        <f>IF(LEN(sucheText)=0,1,IFERROR(IF(ISNUMBER(SEARCH(sucheText,$B25)),1,0),0))</f>
        <v>1</v>
      </c>
      <c r="J25">
        <f>$H25*$I25</f>
        <v>1</v>
      </c>
      <c r="K25">
        <f>CHOOSE(sortIdx,$A25,COUNTIF(Live!$B$2:$B$45,"&lt;"&amp;$B25)+1,COUNTIF(Live!$C$2:$C$45,"&lt;"&amp;$C25)+1,$D25,$E25,$F25,$G25)</f>
        <v>24</v>
      </c>
      <c r="L25">
        <f>IF($K25="",100000,sortDir*$K25)+ROW()*0.0001</f>
        <v>24.0025</v>
      </c>
      <c r="M25">
        <f>IF($J25&lt;&gt;1,0,COUNTIFS(Live!$J$2:$J$45,1,Live!$L$2:$L$45,"&lt;"&amp;$L25)+1)</f>
        <v>24</v>
      </c>
    </row>
    <row r="26" spans="1:13">
      <c r="A26">
        <v>25</v>
      </c>
      <c r="B26" t="s">
        <v>57</v>
      </c>
      <c r="C26" t="s">
        <v>15</v>
      </c>
      <c r="D26">
        <f>IF(COUNTIFS(Daten[source_id],25,Daten[Zielgruppe],selectedGroup,Daten[Suche %],"&lt;&gt;")=0,"",SUMIFS(Daten[Suche %],Daten[source_id],25,Daten[Zielgruppe],selectedGroup))</f>
        <v>19.8</v>
      </c>
      <c r="E26">
        <f>IF(COUNTIFS(Daten[source_id],25,Daten[Zielgruppe],selectedGroup,Daten[Wahrnehmung %],"&lt;&gt;")=0,"",SUMIFS(Daten[Wahrnehmung %],Daten[source_id],25,Daten[Zielgruppe],selectedGroup))</f>
        <v/>
      </c>
      <c r="F26">
        <f>IF(COUNTIFS(Daten[source_id],25,Daten[Zielgruppe],selectedGroup,Daten[Vertrauen Pkt.],"&lt;&gt;")=0,"",SUMIFS(Daten[Vertrauen Pkt.],Daten[source_id],25,Daten[Zielgruppe],selectedGroup))</f>
        <v>74.3</v>
      </c>
      <c r="G26">
        <f>IF(COUNTIFS(Daten[source_id],25,Daten[Zielgruppe],selectedGroup,Daten[Präventionspotential Pkt.],"&lt;&gt;")=0,"",SUMIFS(Daten[Präventionspotential Pkt.],Daten[source_id],25,Daten[Zielgruppe],selectedGroup))</f>
        <v>16.0</v>
      </c>
      <c r="H26">
        <f>IF(katFilter="Alle",1,IF($C26=katFilter,1,0))</f>
        <v>1</v>
      </c>
      <c r="I26">
        <f>IF(LEN(sucheText)=0,1,IFERROR(IF(ISNUMBER(SEARCH(sucheText,$B26)),1,0),0))</f>
        <v>1</v>
      </c>
      <c r="J26">
        <f>$H26*$I26</f>
        <v>1</v>
      </c>
      <c r="K26">
        <f>CHOOSE(sortIdx,$A26,COUNTIF(Live!$B$2:$B$45,"&lt;"&amp;$B26)+1,COUNTIF(Live!$C$2:$C$45,"&lt;"&amp;$C26)+1,$D26,$E26,$F26,$G26)</f>
        <v>25</v>
      </c>
      <c r="L26">
        <f>IF($K26="",100000,sortDir*$K26)+ROW()*0.0001</f>
        <v>25.0026</v>
      </c>
      <c r="M26">
        <f>IF($J26&lt;&gt;1,0,COUNTIFS(Live!$J$2:$J$45,1,Live!$L$2:$L$45,"&lt;"&amp;$L26)+1)</f>
        <v>25</v>
      </c>
    </row>
    <row r="27" spans="1:13">
      <c r="A27">
        <v>26</v>
      </c>
      <c r="B27" t="s">
        <v>58</v>
      </c>
      <c r="C27" t="s">
        <v>15</v>
      </c>
      <c r="D27">
        <f>IF(COUNTIFS(Daten[source_id],26,Daten[Zielgruppe],selectedGroup,Daten[Suche %],"&lt;&gt;")=0,"",SUMIFS(Daten[Suche %],Daten[source_id],26,Daten[Zielgruppe],selectedGroup))</f>
        <v>9.2</v>
      </c>
      <c r="E27">
        <f>IF(COUNTIFS(Daten[source_id],26,Daten[Zielgruppe],selectedGroup,Daten[Wahrnehmung %],"&lt;&gt;")=0,"",SUMIFS(Daten[Wahrnehmung %],Daten[source_id],26,Daten[Zielgruppe],selectedGroup))</f>
        <v/>
      </c>
      <c r="F27">
        <f>IF(COUNTIFS(Daten[source_id],26,Daten[Zielgruppe],selectedGroup,Daten[Vertrauen Pkt.],"&lt;&gt;")=0,"",SUMIFS(Daten[Vertrauen Pkt.],Daten[source_id],26,Daten[Zielgruppe],selectedGroup))</f>
        <v>72.4</v>
      </c>
      <c r="G27">
        <f>IF(COUNTIFS(Daten[source_id],26,Daten[Zielgruppe],selectedGroup,Daten[Präventionspotential Pkt.],"&lt;&gt;")=0,"",SUMIFS(Daten[Präventionspotential Pkt.],Daten[source_id],26,Daten[Zielgruppe],selectedGroup))</f>
        <v>7.3</v>
      </c>
      <c r="H27">
        <f>IF(katFilter="Alle",1,IF($C27=katFilter,1,0))</f>
        <v>1</v>
      </c>
      <c r="I27">
        <f>IF(LEN(sucheText)=0,1,IFERROR(IF(ISNUMBER(SEARCH(sucheText,$B27)),1,0),0))</f>
        <v>1</v>
      </c>
      <c r="J27">
        <f>$H27*$I27</f>
        <v>1</v>
      </c>
      <c r="K27">
        <f>CHOOSE(sortIdx,$A27,COUNTIF(Live!$B$2:$B$45,"&lt;"&amp;$B27)+1,COUNTIF(Live!$C$2:$C$45,"&lt;"&amp;$C27)+1,$D27,$E27,$F27,$G27)</f>
        <v>26</v>
      </c>
      <c r="L27">
        <f>IF($K27="",100000,sortDir*$K27)+ROW()*0.0001</f>
        <v>26.0027</v>
      </c>
      <c r="M27">
        <f>IF($J27&lt;&gt;1,0,COUNTIFS(Live!$J$2:$J$45,1,Live!$L$2:$L$45,"&lt;"&amp;$L27)+1)</f>
        <v>26</v>
      </c>
    </row>
    <row r="28" spans="1:13">
      <c r="A28">
        <v>27</v>
      </c>
      <c r="B28" t="s">
        <v>59</v>
      </c>
      <c r="C28" t="s">
        <v>15</v>
      </c>
      <c r="D28">
        <f>IF(COUNTIFS(Daten[source_id],27,Daten[Zielgruppe],selectedGroup,Daten[Suche %],"&lt;&gt;")=0,"",SUMIFS(Daten[Suche %],Daten[source_id],27,Daten[Zielgruppe],selectedGroup))</f>
        <v>13.0</v>
      </c>
      <c r="E28">
        <f>IF(COUNTIFS(Daten[source_id],27,Daten[Zielgruppe],selectedGroup,Daten[Wahrnehmung %],"&lt;&gt;")=0,"",SUMIFS(Daten[Wahrnehmung %],Daten[source_id],27,Daten[Zielgruppe],selectedGroup))</f>
        <v/>
      </c>
      <c r="F28">
        <f>IF(COUNTIFS(Daten[source_id],27,Daten[Zielgruppe],selectedGroup,Daten[Vertrauen Pkt.],"&lt;&gt;")=0,"",SUMIFS(Daten[Vertrauen Pkt.],Daten[source_id],27,Daten[Zielgruppe],selectedGroup))</f>
        <v>84.7</v>
      </c>
      <c r="G28">
        <f>IF(COUNTIFS(Daten[source_id],27,Daten[Zielgruppe],selectedGroup,Daten[Präventionspotential Pkt.],"&lt;&gt;")=0,"",SUMIFS(Daten[Präventionspotential Pkt.],Daten[source_id],27,Daten[Zielgruppe],selectedGroup))</f>
        <v>11.5</v>
      </c>
      <c r="H28">
        <f>IF(katFilter="Alle",1,IF($C28=katFilter,1,0))</f>
        <v>1</v>
      </c>
      <c r="I28">
        <f>IF(LEN(sucheText)=0,1,IFERROR(IF(ISNUMBER(SEARCH(sucheText,$B28)),1,0),0))</f>
        <v>1</v>
      </c>
      <c r="J28">
        <f>$H28*$I28</f>
        <v>1</v>
      </c>
      <c r="K28">
        <f>CHOOSE(sortIdx,$A28,COUNTIF(Live!$B$2:$B$45,"&lt;"&amp;$B28)+1,COUNTIF(Live!$C$2:$C$45,"&lt;"&amp;$C28)+1,$D28,$E28,$F28,$G28)</f>
        <v>27</v>
      </c>
      <c r="L28">
        <f>IF($K28="",100000,sortDir*$K28)+ROW()*0.0001</f>
        <v>27.0028</v>
      </c>
      <c r="M28">
        <f>IF($J28&lt;&gt;1,0,COUNTIFS(Live!$J$2:$J$45,1,Live!$L$2:$L$45,"&lt;"&amp;$L28)+1)</f>
        <v>27</v>
      </c>
    </row>
    <row r="29" spans="1:13">
      <c r="A29">
        <v>28</v>
      </c>
      <c r="B29" t="s">
        <v>60</v>
      </c>
      <c r="C29" t="s">
        <v>15</v>
      </c>
      <c r="D29">
        <f>IF(COUNTIFS(Daten[source_id],28,Daten[Zielgruppe],selectedGroup,Daten[Suche %],"&lt;&gt;")=0,"",SUMIFS(Daten[Suche %],Daten[source_id],28,Daten[Zielgruppe],selectedGroup))</f>
        <v>2.9</v>
      </c>
      <c r="E29">
        <f>IF(COUNTIFS(Daten[source_id],28,Daten[Zielgruppe],selectedGroup,Daten[Wahrnehmung %],"&lt;&gt;")=0,"",SUMIFS(Daten[Wahrnehmung %],Daten[source_id],28,Daten[Zielgruppe],selectedGroup))</f>
        <v/>
      </c>
      <c r="F29">
        <f>IF(COUNTIFS(Daten[source_id],28,Daten[Zielgruppe],selectedGroup,Daten[Vertrauen Pkt.],"&lt;&gt;")=0,"",SUMIFS(Daten[Vertrauen Pkt.],Daten[source_id],28,Daten[Zielgruppe],selectedGroup))</f>
        <v>62.7</v>
      </c>
      <c r="G29">
        <f>IF(COUNTIFS(Daten[source_id],28,Daten[Zielgruppe],selectedGroup,Daten[Präventionspotential Pkt.],"&lt;&gt;")=0,"",SUMIFS(Daten[Präventionspotential Pkt.],Daten[source_id],28,Daten[Zielgruppe],selectedGroup))</f>
        <v>2.1</v>
      </c>
      <c r="H29">
        <f>IF(katFilter="Alle",1,IF($C29=katFilter,1,0))</f>
        <v>1</v>
      </c>
      <c r="I29">
        <f>IF(LEN(sucheText)=0,1,IFERROR(IF(ISNUMBER(SEARCH(sucheText,$B29)),1,0),0))</f>
        <v>1</v>
      </c>
      <c r="J29">
        <f>$H29*$I29</f>
        <v>1</v>
      </c>
      <c r="K29">
        <f>CHOOSE(sortIdx,$A29,COUNTIF(Live!$B$2:$B$45,"&lt;"&amp;$B29)+1,COUNTIF(Live!$C$2:$C$45,"&lt;"&amp;$C29)+1,$D29,$E29,$F29,$G29)</f>
        <v>28</v>
      </c>
      <c r="L29">
        <f>IF($K29="",100000,sortDir*$K29)+ROW()*0.0001</f>
        <v>28.0029</v>
      </c>
      <c r="M29">
        <f>IF($J29&lt;&gt;1,0,COUNTIFS(Live!$J$2:$J$45,1,Live!$L$2:$L$45,"&lt;"&amp;$L29)+1)</f>
        <v>28</v>
      </c>
    </row>
    <row r="30" spans="1:13">
      <c r="A30">
        <v>29</v>
      </c>
      <c r="B30" t="s">
        <v>61</v>
      </c>
      <c r="C30" t="s">
        <v>16</v>
      </c>
      <c r="D30">
        <f>IF(COUNTIFS(Daten[source_id],29,Daten[Zielgruppe],selectedGroup,Daten[Suche %],"&lt;&gt;")=0,"",SUMIFS(Daten[Suche %],Daten[source_id],29,Daten[Zielgruppe],selectedGroup))</f>
        <v>12.4</v>
      </c>
      <c r="E30">
        <f>IF(COUNTIFS(Daten[source_id],29,Daten[Zielgruppe],selectedGroup,Daten[Wahrnehmung %],"&lt;&gt;")=0,"",SUMIFS(Daten[Wahrnehmung %],Daten[source_id],29,Daten[Zielgruppe],selectedGroup))</f>
        <v/>
      </c>
      <c r="F30">
        <f>IF(COUNTIFS(Daten[source_id],29,Daten[Zielgruppe],selectedGroup,Daten[Vertrauen Pkt.],"&lt;&gt;")=0,"",SUMIFS(Daten[Vertrauen Pkt.],Daten[source_id],29,Daten[Zielgruppe],selectedGroup))</f>
        <v>80.0</v>
      </c>
      <c r="G30">
        <f>IF(COUNTIFS(Daten[source_id],29,Daten[Zielgruppe],selectedGroup,Daten[Präventionspotential Pkt.],"&lt;&gt;")=0,"",SUMIFS(Daten[Präventionspotential Pkt.],Daten[source_id],29,Daten[Zielgruppe],selectedGroup))</f>
        <v>10.5</v>
      </c>
      <c r="H30">
        <f>IF(katFilter="Alle",1,IF($C30=katFilter,1,0))</f>
        <v>1</v>
      </c>
      <c r="I30">
        <f>IF(LEN(sucheText)=0,1,IFERROR(IF(ISNUMBER(SEARCH(sucheText,$B30)),1,0),0))</f>
        <v>1</v>
      </c>
      <c r="J30">
        <f>$H30*$I30</f>
        <v>1</v>
      </c>
      <c r="K30">
        <f>CHOOSE(sortIdx,$A30,COUNTIF(Live!$B$2:$B$45,"&lt;"&amp;$B30)+1,COUNTIF(Live!$C$2:$C$45,"&lt;"&amp;$C30)+1,$D30,$E30,$F30,$G30)</f>
        <v>29</v>
      </c>
      <c r="L30">
        <f>IF($K30="",100000,sortDir*$K30)+ROW()*0.0001</f>
        <v>29.003</v>
      </c>
      <c r="M30">
        <f>IF($J30&lt;&gt;1,0,COUNTIFS(Live!$J$2:$J$45,1,Live!$L$2:$L$45,"&lt;"&amp;$L30)+1)</f>
        <v>29</v>
      </c>
    </row>
    <row r="31" spans="1:13">
      <c r="A31">
        <v>30</v>
      </c>
      <c r="B31" t="s">
        <v>62</v>
      </c>
      <c r="C31" t="s">
        <v>17</v>
      </c>
      <c r="D31">
        <f>IF(COUNTIFS(Daten[source_id],30,Daten[Zielgruppe],selectedGroup,Daten[Suche %],"&lt;&gt;")=0,"",SUMIFS(Daten[Suche %],Daten[source_id],30,Daten[Zielgruppe],selectedGroup))</f>
        <v>6.5</v>
      </c>
      <c r="E31">
        <f>IF(COUNTIFS(Daten[source_id],30,Daten[Zielgruppe],selectedGroup,Daten[Wahrnehmung %],"&lt;&gt;")=0,"",SUMIFS(Daten[Wahrnehmung %],Daten[source_id],30,Daten[Zielgruppe],selectedGroup))</f>
        <v/>
      </c>
      <c r="F31">
        <f>IF(COUNTIFS(Daten[source_id],30,Daten[Zielgruppe],selectedGroup,Daten[Vertrauen Pkt.],"&lt;&gt;")=0,"",SUMIFS(Daten[Vertrauen Pkt.],Daten[source_id],30,Daten[Zielgruppe],selectedGroup))</f>
        <v>82.7</v>
      </c>
      <c r="G31">
        <f>IF(COUNTIFS(Daten[source_id],30,Daten[Zielgruppe],selectedGroup,Daten[Präventionspotential Pkt.],"&lt;&gt;")=0,"",SUMIFS(Daten[Präventionspotential Pkt.],Daten[source_id],30,Daten[Zielgruppe],selectedGroup))</f>
        <v>5.7</v>
      </c>
      <c r="H31">
        <f>IF(katFilter="Alle",1,IF($C31=katFilter,1,0))</f>
        <v>1</v>
      </c>
      <c r="I31">
        <f>IF(LEN(sucheText)=0,1,IFERROR(IF(ISNUMBER(SEARCH(sucheText,$B31)),1,0),0))</f>
        <v>1</v>
      </c>
      <c r="J31">
        <f>$H31*$I31</f>
        <v>1</v>
      </c>
      <c r="K31">
        <f>CHOOSE(sortIdx,$A31,COUNTIF(Live!$B$2:$B$45,"&lt;"&amp;$B31)+1,COUNTIF(Live!$C$2:$C$45,"&lt;"&amp;$C31)+1,$D31,$E31,$F31,$G31)</f>
        <v>30</v>
      </c>
      <c r="L31">
        <f>IF($K31="",100000,sortDir*$K31)+ROW()*0.0001</f>
        <v>30.0031</v>
      </c>
      <c r="M31">
        <f>IF($J31&lt;&gt;1,0,COUNTIFS(Live!$J$2:$J$45,1,Live!$L$2:$L$45,"&lt;"&amp;$L31)+1)</f>
        <v>30</v>
      </c>
    </row>
    <row r="32" spans="1:13">
      <c r="A32">
        <v>31</v>
      </c>
      <c r="B32" t="s">
        <v>42</v>
      </c>
      <c r="C32" t="s">
        <v>17</v>
      </c>
      <c r="D32">
        <f>IF(COUNTIFS(Daten[source_id],31,Daten[Zielgruppe],selectedGroup,Daten[Suche %],"&lt;&gt;")=0,"",SUMIFS(Daten[Suche %],Daten[source_id],31,Daten[Zielgruppe],selectedGroup))</f>
        <v>3.6</v>
      </c>
      <c r="E32">
        <f>IF(COUNTIFS(Daten[source_id],31,Daten[Zielgruppe],selectedGroup,Daten[Wahrnehmung %],"&lt;&gt;")=0,"",SUMIFS(Daten[Wahrnehmung %],Daten[source_id],31,Daten[Zielgruppe],selectedGroup))</f>
        <v/>
      </c>
      <c r="F32">
        <f>IF(COUNTIFS(Daten[source_id],31,Daten[Zielgruppe],selectedGroup,Daten[Vertrauen Pkt.],"&lt;&gt;")=0,"",SUMIFS(Daten[Vertrauen Pkt.],Daten[source_id],31,Daten[Zielgruppe],selectedGroup))</f>
        <v/>
      </c>
      <c r="G32">
        <f>IF(COUNTIFS(Daten[source_id],31,Daten[Zielgruppe],selectedGroup,Daten[Präventionspotential Pkt.],"&lt;&gt;")=0,"",SUMIFS(Daten[Präventionspotential Pkt.],Daten[source_id],31,Daten[Zielgruppe],selectedGroup))</f>
        <v/>
      </c>
      <c r="H32">
        <f>IF(katFilter="Alle",1,IF($C32=katFilter,1,0))</f>
        <v>1</v>
      </c>
      <c r="I32">
        <f>IF(LEN(sucheText)=0,1,IFERROR(IF(ISNUMBER(SEARCH(sucheText,$B32)),1,0),0))</f>
        <v>1</v>
      </c>
      <c r="J32">
        <f>$H32*$I32</f>
        <v>1</v>
      </c>
      <c r="K32">
        <f>CHOOSE(sortIdx,$A32,COUNTIF(Live!$B$2:$B$45,"&lt;"&amp;$B32)+1,COUNTIF(Live!$C$2:$C$45,"&lt;"&amp;$C32)+1,$D32,$E32,$F32,$G32)</f>
        <v>31</v>
      </c>
      <c r="L32">
        <f>IF($K32="",100000,sortDir*$K32)+ROW()*0.0001</f>
        <v>31.0032</v>
      </c>
      <c r="M32">
        <f>IF($J32&lt;&gt;1,0,COUNTIFS(Live!$J$2:$J$45,1,Live!$L$2:$L$45,"&lt;"&amp;$L32)+1)</f>
        <v>31</v>
      </c>
    </row>
    <row r="33" spans="1:13">
      <c r="A33">
        <v>32</v>
      </c>
      <c r="B33" t="s">
        <v>43</v>
      </c>
      <c r="C33" t="s">
        <v>17</v>
      </c>
      <c r="D33">
        <f>IF(COUNTIFS(Daten[source_id],32,Daten[Zielgruppe],selectedGroup,Daten[Suche %],"&lt;&gt;")=0,"",SUMIFS(Daten[Suche %],Daten[source_id],32,Daten[Zielgruppe],selectedGroup))</f>
        <v>4.2</v>
      </c>
      <c r="E33">
        <f>IF(COUNTIFS(Daten[source_id],32,Daten[Zielgruppe],selectedGroup,Daten[Wahrnehmung %],"&lt;&gt;")=0,"",SUMIFS(Daten[Wahrnehmung %],Daten[source_id],32,Daten[Zielgruppe],selectedGroup))</f>
        <v/>
      </c>
      <c r="F33">
        <f>IF(COUNTIFS(Daten[source_id],32,Daten[Zielgruppe],selectedGroup,Daten[Vertrauen Pkt.],"&lt;&gt;")=0,"",SUMIFS(Daten[Vertrauen Pkt.],Daten[source_id],32,Daten[Zielgruppe],selectedGroup))</f>
        <v/>
      </c>
      <c r="G33">
        <f>IF(COUNTIFS(Daten[source_id],32,Daten[Zielgruppe],selectedGroup,Daten[Präventionspotential Pkt.],"&lt;&gt;")=0,"",SUMIFS(Daten[Präventionspotential Pkt.],Daten[source_id],32,Daten[Zielgruppe],selectedGroup))</f>
        <v/>
      </c>
      <c r="H33">
        <f>IF(katFilter="Alle",1,IF($C33=katFilter,1,0))</f>
        <v>1</v>
      </c>
      <c r="I33">
        <f>IF(LEN(sucheText)=0,1,IFERROR(IF(ISNUMBER(SEARCH(sucheText,$B33)),1,0),0))</f>
        <v>1</v>
      </c>
      <c r="J33">
        <f>$H33*$I33</f>
        <v>1</v>
      </c>
      <c r="K33">
        <f>CHOOSE(sortIdx,$A33,COUNTIF(Live!$B$2:$B$45,"&lt;"&amp;$B33)+1,COUNTIF(Live!$C$2:$C$45,"&lt;"&amp;$C33)+1,$D33,$E33,$F33,$G33)</f>
        <v>32</v>
      </c>
      <c r="L33">
        <f>IF($K33="",100000,sortDir*$K33)+ROW()*0.0001</f>
        <v>32.0033</v>
      </c>
      <c r="M33">
        <f>IF($J33&lt;&gt;1,0,COUNTIFS(Live!$J$2:$J$45,1,Live!$L$2:$L$45,"&lt;"&amp;$L33)+1)</f>
        <v>32</v>
      </c>
    </row>
    <row r="34" spans="1:13">
      <c r="A34">
        <v>33</v>
      </c>
      <c r="B34" t="s">
        <v>63</v>
      </c>
      <c r="C34" t="s">
        <v>16</v>
      </c>
      <c r="D34">
        <f>IF(COUNTIFS(Daten[source_id],33,Daten[Zielgruppe],selectedGroup,Daten[Suche %],"&lt;&gt;")=0,"",SUMIFS(Daten[Suche %],Daten[source_id],33,Daten[Zielgruppe],selectedGroup))</f>
        <v/>
      </c>
      <c r="E34">
        <f>IF(COUNTIFS(Daten[source_id],33,Daten[Zielgruppe],selectedGroup,Daten[Wahrnehmung %],"&lt;&gt;")=0,"",SUMIFS(Daten[Wahrnehmung %],Daten[source_id],33,Daten[Zielgruppe],selectedGroup))</f>
        <v>38.0</v>
      </c>
      <c r="F34">
        <f>IF(COUNTIFS(Daten[source_id],33,Daten[Zielgruppe],selectedGroup,Daten[Vertrauen Pkt.],"&lt;&gt;")=0,"",SUMIFS(Daten[Vertrauen Pkt.],Daten[source_id],33,Daten[Zielgruppe],selectedGroup))</f>
        <v>56.5</v>
      </c>
      <c r="G34">
        <f>IF(COUNTIFS(Daten[source_id],33,Daten[Zielgruppe],selectedGroup,Daten[Präventionspotential Pkt.],"&lt;&gt;")=0,"",SUMIFS(Daten[Präventionspotential Pkt.],Daten[source_id],33,Daten[Zielgruppe],selectedGroup))</f>
        <v>25.6</v>
      </c>
      <c r="H34">
        <f>IF(katFilter="Alle",1,IF($C34=katFilter,1,0))</f>
        <v>1</v>
      </c>
      <c r="I34">
        <f>IF(LEN(sucheText)=0,1,IFERROR(IF(ISNUMBER(SEARCH(sucheText,$B34)),1,0),0))</f>
        <v>1</v>
      </c>
      <c r="J34">
        <f>$H34*$I34</f>
        <v>1</v>
      </c>
      <c r="K34">
        <f>CHOOSE(sortIdx,$A34,COUNTIF(Live!$B$2:$B$45,"&lt;"&amp;$B34)+1,COUNTIF(Live!$C$2:$C$45,"&lt;"&amp;$C34)+1,$D34,$E34,$F34,$G34)</f>
        <v>33</v>
      </c>
      <c r="L34">
        <f>IF($K34="",100000,sortDir*$K34)+ROW()*0.0001</f>
        <v>33.0034</v>
      </c>
      <c r="M34">
        <f>IF($J34&lt;&gt;1,0,COUNTIFS(Live!$J$2:$J$45,1,Live!$L$2:$L$45,"&lt;"&amp;$L34)+1)</f>
        <v>33</v>
      </c>
    </row>
    <row r="35" spans="1:13">
      <c r="A35">
        <v>34</v>
      </c>
      <c r="B35" t="s">
        <v>64</v>
      </c>
      <c r="C35" t="s">
        <v>16</v>
      </c>
      <c r="D35">
        <f>IF(COUNTIFS(Daten[source_id],34,Daten[Zielgruppe],selectedGroup,Daten[Suche %],"&lt;&gt;")=0,"",SUMIFS(Daten[Suche %],Daten[source_id],34,Daten[Zielgruppe],selectedGroup))</f>
        <v/>
      </c>
      <c r="E35">
        <f>IF(COUNTIFS(Daten[source_id],34,Daten[Zielgruppe],selectedGroup,Daten[Wahrnehmung %],"&lt;&gt;")=0,"",SUMIFS(Daten[Wahrnehmung %],Daten[source_id],34,Daten[Zielgruppe],selectedGroup))</f>
        <v>29.9</v>
      </c>
      <c r="F35">
        <f>IF(COUNTIFS(Daten[source_id],34,Daten[Zielgruppe],selectedGroup,Daten[Vertrauen Pkt.],"&lt;&gt;")=0,"",SUMIFS(Daten[Vertrauen Pkt.],Daten[source_id],34,Daten[Zielgruppe],selectedGroup))</f>
        <v/>
      </c>
      <c r="G35">
        <f>IF(COUNTIFS(Daten[source_id],34,Daten[Zielgruppe],selectedGroup,Daten[Präventionspotential Pkt.],"&lt;&gt;")=0,"",SUMIFS(Daten[Präventionspotential Pkt.],Daten[source_id],34,Daten[Zielgruppe],selectedGroup))</f>
        <v/>
      </c>
      <c r="H35">
        <f>IF(katFilter="Alle",1,IF($C35=katFilter,1,0))</f>
        <v>1</v>
      </c>
      <c r="I35">
        <f>IF(LEN(sucheText)=0,1,IFERROR(IF(ISNUMBER(SEARCH(sucheText,$B35)),1,0),0))</f>
        <v>1</v>
      </c>
      <c r="J35">
        <f>$H35*$I35</f>
        <v>1</v>
      </c>
      <c r="K35">
        <f>CHOOSE(sortIdx,$A35,COUNTIF(Live!$B$2:$B$45,"&lt;"&amp;$B35)+1,COUNTIF(Live!$C$2:$C$45,"&lt;"&amp;$C35)+1,$D35,$E35,$F35,$G35)</f>
        <v>34</v>
      </c>
      <c r="L35">
        <f>IF($K35="",100000,sortDir*$K35)+ROW()*0.0001</f>
        <v>34.0035</v>
      </c>
      <c r="M35">
        <f>IF($J35&lt;&gt;1,0,COUNTIFS(Live!$J$2:$J$45,1,Live!$L$2:$L$45,"&lt;"&amp;$L35)+1)</f>
        <v>34</v>
      </c>
    </row>
    <row r="36" spans="1:13">
      <c r="A36">
        <v>35</v>
      </c>
      <c r="B36" t="s">
        <v>65</v>
      </c>
      <c r="C36" t="s">
        <v>16</v>
      </c>
      <c r="D36">
        <f>IF(COUNTIFS(Daten[source_id],35,Daten[Zielgruppe],selectedGroup,Daten[Suche %],"&lt;&gt;")=0,"",SUMIFS(Daten[Suche %],Daten[source_id],35,Daten[Zielgruppe],selectedGroup))</f>
        <v/>
      </c>
      <c r="E36">
        <f>IF(COUNTIFS(Daten[source_id],35,Daten[Zielgruppe],selectedGroup,Daten[Wahrnehmung %],"&lt;&gt;")=0,"",SUMIFS(Daten[Wahrnehmung %],Daten[source_id],35,Daten[Zielgruppe],selectedGroup))</f>
        <v>1.8</v>
      </c>
      <c r="F36">
        <f>IF(COUNTIFS(Daten[source_id],35,Daten[Zielgruppe],selectedGroup,Daten[Vertrauen Pkt.],"&lt;&gt;")=0,"",SUMIFS(Daten[Vertrauen Pkt.],Daten[source_id],35,Daten[Zielgruppe],selectedGroup))</f>
        <v/>
      </c>
      <c r="G36">
        <f>IF(COUNTIFS(Daten[source_id],35,Daten[Zielgruppe],selectedGroup,Daten[Präventionspotential Pkt.],"&lt;&gt;")=0,"",SUMIFS(Daten[Präventionspotential Pkt.],Daten[source_id],35,Daten[Zielgruppe],selectedGroup))</f>
        <v/>
      </c>
      <c r="H36">
        <f>IF(katFilter="Alle",1,IF($C36=katFilter,1,0))</f>
        <v>1</v>
      </c>
      <c r="I36">
        <f>IF(LEN(sucheText)=0,1,IFERROR(IF(ISNUMBER(SEARCH(sucheText,$B36)),1,0),0))</f>
        <v>1</v>
      </c>
      <c r="J36">
        <f>$H36*$I36</f>
        <v>1</v>
      </c>
      <c r="K36">
        <f>CHOOSE(sortIdx,$A36,COUNTIF(Live!$B$2:$B$45,"&lt;"&amp;$B36)+1,COUNTIF(Live!$C$2:$C$45,"&lt;"&amp;$C36)+1,$D36,$E36,$F36,$G36)</f>
        <v>35</v>
      </c>
      <c r="L36">
        <f>IF($K36="",100000,sortDir*$K36)+ROW()*0.0001</f>
        <v>35.0036</v>
      </c>
      <c r="M36">
        <f>IF($J36&lt;&gt;1,0,COUNTIFS(Live!$J$2:$J$45,1,Live!$L$2:$L$45,"&lt;"&amp;$L36)+1)</f>
        <v>35</v>
      </c>
    </row>
    <row r="37" spans="1:13">
      <c r="A37">
        <v>36</v>
      </c>
      <c r="B37" t="s">
        <v>66</v>
      </c>
      <c r="C37" t="s">
        <v>16</v>
      </c>
      <c r="D37">
        <f>IF(COUNTIFS(Daten[source_id],36,Daten[Zielgruppe],selectedGroup,Daten[Suche %],"&lt;&gt;")=0,"",SUMIFS(Daten[Suche %],Daten[source_id],36,Daten[Zielgruppe],selectedGroup))</f>
        <v/>
      </c>
      <c r="E37">
        <f>IF(COUNTIFS(Daten[source_id],36,Daten[Zielgruppe],selectedGroup,Daten[Wahrnehmung %],"&lt;&gt;")=0,"",SUMIFS(Daten[Wahrnehmung %],Daten[source_id],36,Daten[Zielgruppe],selectedGroup))</f>
        <v>15.8</v>
      </c>
      <c r="F37">
        <f>IF(COUNTIFS(Daten[source_id],36,Daten[Zielgruppe],selectedGroup,Daten[Vertrauen Pkt.],"&lt;&gt;")=0,"",SUMIFS(Daten[Vertrauen Pkt.],Daten[source_id],36,Daten[Zielgruppe],selectedGroup))</f>
        <v/>
      </c>
      <c r="G37">
        <f>IF(COUNTIFS(Daten[source_id],36,Daten[Zielgruppe],selectedGroup,Daten[Präventionspotential Pkt.],"&lt;&gt;")=0,"",SUMIFS(Daten[Präventionspotential Pkt.],Daten[source_id],36,Daten[Zielgruppe],selectedGroup))</f>
        <v/>
      </c>
      <c r="H37">
        <f>IF(katFilter="Alle",1,IF($C37=katFilter,1,0))</f>
        <v>1</v>
      </c>
      <c r="I37">
        <f>IF(LEN(sucheText)=0,1,IFERROR(IF(ISNUMBER(SEARCH(sucheText,$B37)),1,0),0))</f>
        <v>1</v>
      </c>
      <c r="J37">
        <f>$H37*$I37</f>
        <v>1</v>
      </c>
      <c r="K37">
        <f>CHOOSE(sortIdx,$A37,COUNTIF(Live!$B$2:$B$45,"&lt;"&amp;$B37)+1,COUNTIF(Live!$C$2:$C$45,"&lt;"&amp;$C37)+1,$D37,$E37,$F37,$G37)</f>
        <v>36</v>
      </c>
      <c r="L37">
        <f>IF($K37="",100000,sortDir*$K37)+ROW()*0.0001</f>
        <v>36.0037</v>
      </c>
      <c r="M37">
        <f>IF($J37&lt;&gt;1,0,COUNTIFS(Live!$J$2:$J$45,1,Live!$L$2:$L$45,"&lt;"&amp;$L37)+1)</f>
        <v>36</v>
      </c>
    </row>
    <row r="38" spans="1:13">
      <c r="A38">
        <v>37</v>
      </c>
      <c r="B38" t="s">
        <v>67</v>
      </c>
      <c r="C38" t="s">
        <v>16</v>
      </c>
      <c r="D38">
        <f>IF(COUNTIFS(Daten[source_id],37,Daten[Zielgruppe],selectedGroup,Daten[Suche %],"&lt;&gt;")=0,"",SUMIFS(Daten[Suche %],Daten[source_id],37,Daten[Zielgruppe],selectedGroup))</f>
        <v/>
      </c>
      <c r="E38">
        <f>IF(COUNTIFS(Daten[source_id],37,Daten[Zielgruppe],selectedGroup,Daten[Wahrnehmung %],"&lt;&gt;")=0,"",SUMIFS(Daten[Wahrnehmung %],Daten[source_id],37,Daten[Zielgruppe],selectedGroup))</f>
        <v>3.8</v>
      </c>
      <c r="F38">
        <f>IF(COUNTIFS(Daten[source_id],37,Daten[Zielgruppe],selectedGroup,Daten[Vertrauen Pkt.],"&lt;&gt;")=0,"",SUMIFS(Daten[Vertrauen Pkt.],Daten[source_id],37,Daten[Zielgruppe],selectedGroup))</f>
        <v/>
      </c>
      <c r="G38">
        <f>IF(COUNTIFS(Daten[source_id],37,Daten[Zielgruppe],selectedGroup,Daten[Präventionspotential Pkt.],"&lt;&gt;")=0,"",SUMIFS(Daten[Präventionspotential Pkt.],Daten[source_id],37,Daten[Zielgruppe],selectedGroup))</f>
        <v/>
      </c>
      <c r="H38">
        <f>IF(katFilter="Alle",1,IF($C38=katFilter,1,0))</f>
        <v>1</v>
      </c>
      <c r="I38">
        <f>IF(LEN(sucheText)=0,1,IFERROR(IF(ISNUMBER(SEARCH(sucheText,$B38)),1,0),0))</f>
        <v>1</v>
      </c>
      <c r="J38">
        <f>$H38*$I38</f>
        <v>1</v>
      </c>
      <c r="K38">
        <f>CHOOSE(sortIdx,$A38,COUNTIF(Live!$B$2:$B$45,"&lt;"&amp;$B38)+1,COUNTIF(Live!$C$2:$C$45,"&lt;"&amp;$C38)+1,$D38,$E38,$F38,$G38)</f>
        <v>37</v>
      </c>
      <c r="L38">
        <f>IF($K38="",100000,sortDir*$K38)+ROW()*0.0001</f>
        <v>37.0038</v>
      </c>
      <c r="M38">
        <f>IF($J38&lt;&gt;1,0,COUNTIFS(Live!$J$2:$J$45,1,Live!$L$2:$L$45,"&lt;"&amp;$L38)+1)</f>
        <v>37</v>
      </c>
    </row>
    <row r="39" spans="1:13">
      <c r="A39">
        <v>38</v>
      </c>
      <c r="B39" t="s">
        <v>68</v>
      </c>
      <c r="C39" t="s">
        <v>16</v>
      </c>
      <c r="D39">
        <f>IF(COUNTIFS(Daten[source_id],38,Daten[Zielgruppe],selectedGroup,Daten[Suche %],"&lt;&gt;")=0,"",SUMIFS(Daten[Suche %],Daten[source_id],38,Daten[Zielgruppe],selectedGroup))</f>
        <v/>
      </c>
      <c r="E39">
        <f>IF(COUNTIFS(Daten[source_id],38,Daten[Zielgruppe],selectedGroup,Daten[Wahrnehmung %],"&lt;&gt;")=0,"",SUMIFS(Daten[Wahrnehmung %],Daten[source_id],38,Daten[Zielgruppe],selectedGroup))</f>
        <v>6.2</v>
      </c>
      <c r="F39">
        <f>IF(COUNTIFS(Daten[source_id],38,Daten[Zielgruppe],selectedGroup,Daten[Vertrauen Pkt.],"&lt;&gt;")=0,"",SUMIFS(Daten[Vertrauen Pkt.],Daten[source_id],38,Daten[Zielgruppe],selectedGroup))</f>
        <v/>
      </c>
      <c r="G39">
        <f>IF(COUNTIFS(Daten[source_id],38,Daten[Zielgruppe],selectedGroup,Daten[Präventionspotential Pkt.],"&lt;&gt;")=0,"",SUMIFS(Daten[Präventionspotential Pkt.],Daten[source_id],38,Daten[Zielgruppe],selectedGroup))</f>
        <v/>
      </c>
      <c r="H39">
        <f>IF(katFilter="Alle",1,IF($C39=katFilter,1,0))</f>
        <v>1</v>
      </c>
      <c r="I39">
        <f>IF(LEN(sucheText)=0,1,IFERROR(IF(ISNUMBER(SEARCH(sucheText,$B39)),1,0),0))</f>
        <v>1</v>
      </c>
      <c r="J39">
        <f>$H39*$I39</f>
        <v>1</v>
      </c>
      <c r="K39">
        <f>CHOOSE(sortIdx,$A39,COUNTIF(Live!$B$2:$B$45,"&lt;"&amp;$B39)+1,COUNTIF(Live!$C$2:$C$45,"&lt;"&amp;$C39)+1,$D39,$E39,$F39,$G39)</f>
        <v>38</v>
      </c>
      <c r="L39">
        <f>IF($K39="",100000,sortDir*$K39)+ROW()*0.0001</f>
        <v>38.0039</v>
      </c>
      <c r="M39">
        <f>IF($J39&lt;&gt;1,0,COUNTIFS(Live!$J$2:$J$45,1,Live!$L$2:$L$45,"&lt;"&amp;$L39)+1)</f>
        <v>38</v>
      </c>
    </row>
    <row r="40" spans="1:13">
      <c r="A40">
        <v>39</v>
      </c>
      <c r="B40" t="s">
        <v>69</v>
      </c>
      <c r="C40" t="s">
        <v>16</v>
      </c>
      <c r="D40">
        <f>IF(COUNTIFS(Daten[source_id],39,Daten[Zielgruppe],selectedGroup,Daten[Suche %],"&lt;&gt;")=0,"",SUMIFS(Daten[Suche %],Daten[source_id],39,Daten[Zielgruppe],selectedGroup))</f>
        <v/>
      </c>
      <c r="E40">
        <f>IF(COUNTIFS(Daten[source_id],39,Daten[Zielgruppe],selectedGroup,Daten[Wahrnehmung %],"&lt;&gt;")=0,"",SUMIFS(Daten[Wahrnehmung %],Daten[source_id],39,Daten[Zielgruppe],selectedGroup))</f>
        <v>18.4</v>
      </c>
      <c r="F40">
        <f>IF(COUNTIFS(Daten[source_id],39,Daten[Zielgruppe],selectedGroup,Daten[Vertrauen Pkt.],"&lt;&gt;")=0,"",SUMIFS(Daten[Vertrauen Pkt.],Daten[source_id],39,Daten[Zielgruppe],selectedGroup))</f>
        <v>56.0</v>
      </c>
      <c r="G40">
        <f>IF(COUNTIFS(Daten[source_id],39,Daten[Zielgruppe],selectedGroup,Daten[Präventionspotential Pkt.],"&lt;&gt;")=0,"",SUMIFS(Daten[Präventionspotential Pkt.],Daten[source_id],39,Daten[Zielgruppe],selectedGroup))</f>
        <v>12.3</v>
      </c>
      <c r="H40">
        <f>IF(katFilter="Alle",1,IF($C40=katFilter,1,0))</f>
        <v>1</v>
      </c>
      <c r="I40">
        <f>IF(LEN(sucheText)=0,1,IFERROR(IF(ISNUMBER(SEARCH(sucheText,$B40)),1,0),0))</f>
        <v>1</v>
      </c>
      <c r="J40">
        <f>$H40*$I40</f>
        <v>1</v>
      </c>
      <c r="K40">
        <f>CHOOSE(sortIdx,$A40,COUNTIF(Live!$B$2:$B$45,"&lt;"&amp;$B40)+1,COUNTIF(Live!$C$2:$C$45,"&lt;"&amp;$C40)+1,$D40,$E40,$F40,$G40)</f>
        <v>39</v>
      </c>
      <c r="L40">
        <f>IF($K40="",100000,sortDir*$K40)+ROW()*0.0001</f>
        <v>39.004</v>
      </c>
      <c r="M40">
        <f>IF($J40&lt;&gt;1,0,COUNTIFS(Live!$J$2:$J$45,1,Live!$L$2:$L$45,"&lt;"&amp;$L40)+1)</f>
        <v>39</v>
      </c>
    </row>
    <row r="41" spans="1:13">
      <c r="A41">
        <v>40</v>
      </c>
      <c r="B41" t="s">
        <v>70</v>
      </c>
      <c r="C41" t="s">
        <v>16</v>
      </c>
      <c r="D41">
        <f>IF(COUNTIFS(Daten[source_id],40,Daten[Zielgruppe],selectedGroup,Daten[Suche %],"&lt;&gt;")=0,"",SUMIFS(Daten[Suche %],Daten[source_id],40,Daten[Zielgruppe],selectedGroup))</f>
        <v/>
      </c>
      <c r="E41">
        <f>IF(COUNTIFS(Daten[source_id],40,Daten[Zielgruppe],selectedGroup,Daten[Wahrnehmung %],"&lt;&gt;")=0,"",SUMIFS(Daten[Wahrnehmung %],Daten[source_id],40,Daten[Zielgruppe],selectedGroup))</f>
        <v>5.8</v>
      </c>
      <c r="F41">
        <f>IF(COUNTIFS(Daten[source_id],40,Daten[Zielgruppe],selectedGroup,Daten[Vertrauen Pkt.],"&lt;&gt;")=0,"",SUMIFS(Daten[Vertrauen Pkt.],Daten[source_id],40,Daten[Zielgruppe],selectedGroup))</f>
        <v/>
      </c>
      <c r="G41">
        <f>IF(COUNTIFS(Daten[source_id],40,Daten[Zielgruppe],selectedGroup,Daten[Präventionspotential Pkt.],"&lt;&gt;")=0,"",SUMIFS(Daten[Präventionspotential Pkt.],Daten[source_id],40,Daten[Zielgruppe],selectedGroup))</f>
        <v/>
      </c>
      <c r="H41">
        <f>IF(katFilter="Alle",1,IF($C41=katFilter,1,0))</f>
        <v>1</v>
      </c>
      <c r="I41">
        <f>IF(LEN(sucheText)=0,1,IFERROR(IF(ISNUMBER(SEARCH(sucheText,$B41)),1,0),0))</f>
        <v>1</v>
      </c>
      <c r="J41">
        <f>$H41*$I41</f>
        <v>1</v>
      </c>
      <c r="K41">
        <f>CHOOSE(sortIdx,$A41,COUNTIF(Live!$B$2:$B$45,"&lt;"&amp;$B41)+1,COUNTIF(Live!$C$2:$C$45,"&lt;"&amp;$C41)+1,$D41,$E41,$F41,$G41)</f>
        <v>40</v>
      </c>
      <c r="L41">
        <f>IF($K41="",100000,sortDir*$K41)+ROW()*0.0001</f>
        <v>40.0041</v>
      </c>
      <c r="M41">
        <f>IF($J41&lt;&gt;1,0,COUNTIFS(Live!$J$2:$J$45,1,Live!$L$2:$L$45,"&lt;"&amp;$L41)+1)</f>
        <v>40</v>
      </c>
    </row>
    <row r="42" spans="1:13">
      <c r="A42">
        <v>41</v>
      </c>
      <c r="B42" t="s">
        <v>71</v>
      </c>
      <c r="C42" t="s">
        <v>16</v>
      </c>
      <c r="D42">
        <f>IF(COUNTIFS(Daten[source_id],41,Daten[Zielgruppe],selectedGroup,Daten[Suche %],"&lt;&gt;")=0,"",SUMIFS(Daten[Suche %],Daten[source_id],41,Daten[Zielgruppe],selectedGroup))</f>
        <v/>
      </c>
      <c r="E42">
        <f>IF(COUNTIFS(Daten[source_id],41,Daten[Zielgruppe],selectedGroup,Daten[Wahrnehmung %],"&lt;&gt;")=0,"",SUMIFS(Daten[Wahrnehmung %],Daten[source_id],41,Daten[Zielgruppe],selectedGroup))</f>
        <v>10.0</v>
      </c>
      <c r="F42">
        <f>IF(COUNTIFS(Daten[source_id],41,Daten[Zielgruppe],selectedGroup,Daten[Vertrauen Pkt.],"&lt;&gt;")=0,"",SUMIFS(Daten[Vertrauen Pkt.],Daten[source_id],41,Daten[Zielgruppe],selectedGroup))</f>
        <v/>
      </c>
      <c r="G42">
        <f>IF(COUNTIFS(Daten[source_id],41,Daten[Zielgruppe],selectedGroup,Daten[Präventionspotential Pkt.],"&lt;&gt;")=0,"",SUMIFS(Daten[Präventionspotential Pkt.],Daten[source_id],41,Daten[Zielgruppe],selectedGroup))</f>
        <v/>
      </c>
      <c r="H42">
        <f>IF(katFilter="Alle",1,IF($C42=katFilter,1,0))</f>
        <v>1</v>
      </c>
      <c r="I42">
        <f>IF(LEN(sucheText)=0,1,IFERROR(IF(ISNUMBER(SEARCH(sucheText,$B42)),1,0),0))</f>
        <v>1</v>
      </c>
      <c r="J42">
        <f>$H42*$I42</f>
        <v>1</v>
      </c>
      <c r="K42">
        <f>CHOOSE(sortIdx,$A42,COUNTIF(Live!$B$2:$B$45,"&lt;"&amp;$B42)+1,COUNTIF(Live!$C$2:$C$45,"&lt;"&amp;$C42)+1,$D42,$E42,$F42,$G42)</f>
        <v>41</v>
      </c>
      <c r="L42">
        <f>IF($K42="",100000,sortDir*$K42)+ROW()*0.0001</f>
        <v>41.0042</v>
      </c>
      <c r="M42">
        <f>IF($J42&lt;&gt;1,0,COUNTIFS(Live!$J$2:$J$45,1,Live!$L$2:$L$45,"&lt;"&amp;$L42)+1)</f>
        <v>41</v>
      </c>
    </row>
    <row r="43" spans="1:13">
      <c r="A43">
        <v>42</v>
      </c>
      <c r="B43" t="s">
        <v>72</v>
      </c>
      <c r="C43" t="s">
        <v>16</v>
      </c>
      <c r="D43">
        <f>IF(COUNTIFS(Daten[source_id],42,Daten[Zielgruppe],selectedGroup,Daten[Suche %],"&lt;&gt;")=0,"",SUMIFS(Daten[Suche %],Daten[source_id],42,Daten[Zielgruppe],selectedGroup))</f>
        <v/>
      </c>
      <c r="E43">
        <f>IF(COUNTIFS(Daten[source_id],42,Daten[Zielgruppe],selectedGroup,Daten[Wahrnehmung %],"&lt;&gt;")=0,"",SUMIFS(Daten[Wahrnehmung %],Daten[source_id],42,Daten[Zielgruppe],selectedGroup))</f>
        <v>9.4</v>
      </c>
      <c r="F43">
        <f>IF(COUNTIFS(Daten[source_id],42,Daten[Zielgruppe],selectedGroup,Daten[Vertrauen Pkt.],"&lt;&gt;")=0,"",SUMIFS(Daten[Vertrauen Pkt.],Daten[source_id],42,Daten[Zielgruppe],selectedGroup))</f>
        <v/>
      </c>
      <c r="G43">
        <f>IF(COUNTIFS(Daten[source_id],42,Daten[Zielgruppe],selectedGroup,Daten[Präventionspotential Pkt.],"&lt;&gt;")=0,"",SUMIFS(Daten[Präventionspotential Pkt.],Daten[source_id],42,Daten[Zielgruppe],selectedGroup))</f>
        <v/>
      </c>
      <c r="H43">
        <f>IF(katFilter="Alle",1,IF($C43=katFilter,1,0))</f>
        <v>1</v>
      </c>
      <c r="I43">
        <f>IF(LEN(sucheText)=0,1,IFERROR(IF(ISNUMBER(SEARCH(sucheText,$B43)),1,0),0))</f>
        <v>1</v>
      </c>
      <c r="J43">
        <f>$H43*$I43</f>
        <v>1</v>
      </c>
      <c r="K43">
        <f>CHOOSE(sortIdx,$A43,COUNTIF(Live!$B$2:$B$45,"&lt;"&amp;$B43)+1,COUNTIF(Live!$C$2:$C$45,"&lt;"&amp;$C43)+1,$D43,$E43,$F43,$G43)</f>
        <v>42</v>
      </c>
      <c r="L43">
        <f>IF($K43="",100000,sortDir*$K43)+ROW()*0.0001</f>
        <v>42.0043</v>
      </c>
      <c r="M43">
        <f>IF($J43&lt;&gt;1,0,COUNTIFS(Live!$J$2:$J$45,1,Live!$L$2:$L$45,"&lt;"&amp;$L43)+1)</f>
        <v>42</v>
      </c>
    </row>
    <row r="44" spans="1:13">
      <c r="A44">
        <v>43</v>
      </c>
      <c r="B44" t="s">
        <v>73</v>
      </c>
      <c r="C44" t="s">
        <v>15</v>
      </c>
      <c r="D44">
        <f>IF(COUNTIFS(Daten[source_id],43,Daten[Zielgruppe],selectedGroup,Daten[Suche %],"&lt;&gt;")=0,"",SUMIFS(Daten[Suche %],Daten[source_id],43,Daten[Zielgruppe],selectedGroup))</f>
        <v/>
      </c>
      <c r="E44">
        <f>IF(COUNTIFS(Daten[source_id],43,Daten[Zielgruppe],selectedGroup,Daten[Wahrnehmung %],"&lt;&gt;")=0,"",SUMIFS(Daten[Wahrnehmung %],Daten[source_id],43,Daten[Zielgruppe],selectedGroup))</f>
        <v>59.8</v>
      </c>
      <c r="F44">
        <f>IF(COUNTIFS(Daten[source_id],43,Daten[Zielgruppe],selectedGroup,Daten[Vertrauen Pkt.],"&lt;&gt;")=0,"",SUMIFS(Daten[Vertrauen Pkt.],Daten[source_id],43,Daten[Zielgruppe],selectedGroup))</f>
        <v>61.7</v>
      </c>
      <c r="G44">
        <f>IF(COUNTIFS(Daten[source_id],43,Daten[Zielgruppe],selectedGroup,Daten[Präventionspotential Pkt.],"&lt;&gt;")=0,"",SUMIFS(Daten[Präventionspotential Pkt.],Daten[source_id],43,Daten[Zielgruppe],selectedGroup))</f>
        <v>42.6</v>
      </c>
      <c r="H44">
        <f>IF(katFilter="Alle",1,IF($C44=katFilter,1,0))</f>
        <v>1</v>
      </c>
      <c r="I44">
        <f>IF(LEN(sucheText)=0,1,IFERROR(IF(ISNUMBER(SEARCH(sucheText,$B44)),1,0),0))</f>
        <v>1</v>
      </c>
      <c r="J44">
        <f>$H44*$I44</f>
        <v>1</v>
      </c>
      <c r="K44">
        <f>CHOOSE(sortIdx,$A44,COUNTIF(Live!$B$2:$B$45,"&lt;"&amp;$B44)+1,COUNTIF(Live!$C$2:$C$45,"&lt;"&amp;$C44)+1,$D44,$E44,$F44,$G44)</f>
        <v>43</v>
      </c>
      <c r="L44">
        <f>IF($K44="",100000,sortDir*$K44)+ROW()*0.0001</f>
        <v>43.0044</v>
      </c>
      <c r="M44">
        <f>IF($J44&lt;&gt;1,0,COUNTIFS(Live!$J$2:$J$45,1,Live!$L$2:$L$45,"&lt;"&amp;$L44)+1)</f>
        <v>43</v>
      </c>
    </row>
    <row r="45" spans="1:13">
      <c r="A45">
        <v>44</v>
      </c>
      <c r="B45" t="s">
        <v>74</v>
      </c>
      <c r="C45" t="s">
        <v>13</v>
      </c>
      <c r="D45">
        <f>IF(COUNTIFS(Daten[source_id],44,Daten[Zielgruppe],selectedGroup,Daten[Suche %],"&lt;&gt;")=0,"",SUMIFS(Daten[Suche %],Daten[source_id],44,Daten[Zielgruppe],selectedGroup))</f>
        <v/>
      </c>
      <c r="E45">
        <f>IF(COUNTIFS(Daten[source_id],44,Daten[Zielgruppe],selectedGroup,Daten[Wahrnehmung %],"&lt;&gt;")=0,"",SUMIFS(Daten[Wahrnehmung %],Daten[source_id],44,Daten[Zielgruppe],selectedGroup))</f>
        <v>42.1</v>
      </c>
      <c r="F45">
        <f>IF(COUNTIFS(Daten[source_id],44,Daten[Zielgruppe],selectedGroup,Daten[Vertrauen Pkt.],"&lt;&gt;")=0,"",SUMIFS(Daten[Vertrauen Pkt.],Daten[source_id],44,Daten[Zielgruppe],selectedGroup))</f>
        <v>50.1</v>
      </c>
      <c r="G45">
        <f>IF(COUNTIFS(Daten[source_id],44,Daten[Zielgruppe],selectedGroup,Daten[Präventionspotential Pkt.],"&lt;&gt;")=0,"",SUMIFS(Daten[Präventionspotential Pkt.],Daten[source_id],44,Daten[Zielgruppe],selectedGroup))</f>
        <v>26.4</v>
      </c>
      <c r="H45">
        <f>IF(katFilter="Alle",1,IF($C45=katFilter,1,0))</f>
        <v>1</v>
      </c>
      <c r="I45">
        <f>IF(LEN(sucheText)=0,1,IFERROR(IF(ISNUMBER(SEARCH(sucheText,$B45)),1,0),0))</f>
        <v>1</v>
      </c>
      <c r="J45">
        <f>$H45*$I45</f>
        <v>1</v>
      </c>
      <c r="K45">
        <f>CHOOSE(sortIdx,$A45,COUNTIF(Live!$B$2:$B$45,"&lt;"&amp;$B45)+1,COUNTIF(Live!$C$2:$C$45,"&lt;"&amp;$C45)+1,$D45,$E45,$F45,$G45)</f>
        <v>44</v>
      </c>
      <c r="L45">
        <f>IF($K45="",100000,sortDir*$K45)+ROW()*0.0001</f>
        <v>44.0045</v>
      </c>
      <c r="M45">
        <f>IF($J45&lt;&gt;1,0,COUNTIFS(Live!$J$2:$J$45,1,Live!$L$2:$L$45,"&lt;"&amp;$L45)+1)</f>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11</vt:i4>
      </vt:variant>
    </vt:vector>
  </HeadingPairs>
  <TitlesOfParts>
    <vt:vector size="17" baseType="lpstr">
      <vt:lpstr>Kanäle-Dashboard</vt:lpstr>
      <vt:lpstr>Erläuterungen</vt:lpstr>
      <vt:lpstr>Listen</vt:lpstr>
      <vt:lpstr>Daten</vt:lpstr>
      <vt:lpstr>Kanäle</vt:lpstr>
      <vt:lpstr>Live</vt:lpstr>
      <vt:lpstr>KategorieListe</vt:lpstr>
      <vt:lpstr>katFilter</vt:lpstr>
      <vt:lpstr>ReihenfolgeListe</vt:lpstr>
      <vt:lpstr>selectedGroup</vt:lpstr>
      <vt:lpstr>sortDir</vt:lpstr>
      <vt:lpstr>sortFeld</vt:lpstr>
      <vt:lpstr>SortFelderListe</vt:lpstr>
      <vt:lpstr>sortIdx</vt:lpstr>
      <vt:lpstr>sortReihen</vt:lpstr>
      <vt:lpstr>sucheText</vt:lpstr>
      <vt:lpstr>ZielgruppenListe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2026-06-10T21:52:36Z</dcterms:created>
  <dcterms:modified xsi:type="dcterms:W3CDTF">2026-06-10T21:52:36Z</dcterms:modified>
</cp:coreProperties>
</file>